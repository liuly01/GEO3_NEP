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han05\writing\submit20251110\Figure\Figure4\GEO3_anlysis\"/>
    </mc:Choice>
  </mc:AlternateContent>
  <xr:revisionPtr revIDLastSave="0" documentId="13_ncr:1_{0DF27998-128B-4963-9936-15E8BA50CAB0}" xr6:coauthVersionLast="47" xr6:coauthVersionMax="47" xr10:uidLastSave="{00000000-0000-0000-0000-000000000000}"/>
  <bookViews>
    <workbookView xWindow="525" yWindow="2055" windowWidth="28005" windowHeight="137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4" i="1" l="1"/>
  <c r="J44" i="1"/>
  <c r="I44" i="1"/>
  <c r="H44" i="1"/>
  <c r="G44" i="1"/>
  <c r="F44" i="1"/>
  <c r="E44" i="1"/>
  <c r="D44" i="1"/>
  <c r="C44" i="1"/>
  <c r="B44" i="1"/>
  <c r="K43" i="1"/>
  <c r="J43" i="1"/>
  <c r="I43" i="1"/>
  <c r="H43" i="1"/>
  <c r="G43" i="1"/>
  <c r="F43" i="1"/>
  <c r="E43" i="1"/>
  <c r="D43" i="1"/>
  <c r="C43" i="1"/>
  <c r="B43" i="1"/>
  <c r="K35" i="1"/>
  <c r="J35" i="1"/>
  <c r="I35" i="1"/>
  <c r="H35" i="1"/>
  <c r="G35" i="1"/>
  <c r="F35" i="1"/>
  <c r="E35" i="1"/>
  <c r="D35" i="1"/>
  <c r="C35" i="1"/>
  <c r="B35" i="1"/>
  <c r="K34" i="1"/>
  <c r="J34" i="1"/>
  <c r="I34" i="1"/>
  <c r="H34" i="1"/>
  <c r="G34" i="1"/>
  <c r="F34" i="1"/>
  <c r="E34" i="1"/>
  <c r="D34" i="1"/>
  <c r="C34" i="1"/>
  <c r="B34" i="1"/>
  <c r="K26" i="1"/>
  <c r="J26" i="1"/>
  <c r="I26" i="1"/>
  <c r="H26" i="1"/>
  <c r="G26" i="1"/>
  <c r="F26" i="1"/>
  <c r="E26" i="1"/>
  <c r="D26" i="1"/>
  <c r="C26" i="1"/>
  <c r="B26" i="1"/>
  <c r="K25" i="1"/>
  <c r="J25" i="1"/>
  <c r="I25" i="1"/>
  <c r="H25" i="1"/>
  <c r="G25" i="1"/>
  <c r="F25" i="1"/>
  <c r="E25" i="1"/>
  <c r="D25" i="1"/>
  <c r="C25" i="1"/>
  <c r="B25" i="1"/>
  <c r="K17" i="1"/>
  <c r="J17" i="1"/>
  <c r="I17" i="1"/>
  <c r="H17" i="1"/>
  <c r="G17" i="1"/>
  <c r="F17" i="1"/>
  <c r="E17" i="1"/>
  <c r="D17" i="1"/>
  <c r="C17" i="1"/>
  <c r="B17" i="1"/>
  <c r="K16" i="1"/>
  <c r="J16" i="1"/>
  <c r="I16" i="1"/>
  <c r="H16" i="1"/>
  <c r="G16" i="1"/>
  <c r="F16" i="1"/>
  <c r="E16" i="1"/>
  <c r="D16" i="1"/>
  <c r="C16" i="1"/>
  <c r="B16" i="1"/>
  <c r="C8" i="1"/>
  <c r="D8" i="1"/>
  <c r="E8" i="1"/>
  <c r="F8" i="1"/>
  <c r="G8" i="1"/>
  <c r="H8" i="1"/>
  <c r="I8" i="1"/>
  <c r="J8" i="1"/>
  <c r="K8" i="1"/>
  <c r="B8" i="1"/>
  <c r="C7" i="1"/>
  <c r="D7" i="1"/>
  <c r="E7" i="1"/>
  <c r="F7" i="1"/>
  <c r="G7" i="1"/>
  <c r="H7" i="1"/>
  <c r="I7" i="1"/>
  <c r="J7" i="1"/>
  <c r="K7" i="1"/>
  <c r="B7" i="1"/>
</calcChain>
</file>

<file path=xl/sharedStrings.xml><?xml version="1.0" encoding="utf-8"?>
<sst xmlns="http://schemas.openxmlformats.org/spreadsheetml/2006/main" count="40" uniqueCount="12">
  <si>
    <t>fold1</t>
    <phoneticPr fontId="1" type="noConversion"/>
  </si>
  <si>
    <t>fold2</t>
    <phoneticPr fontId="1" type="noConversion"/>
  </si>
  <si>
    <t>fold3</t>
  </si>
  <si>
    <t>fold4</t>
  </si>
  <si>
    <t>fold5</t>
  </si>
  <si>
    <t>R2</t>
    <phoneticPr fontId="1" type="noConversion"/>
  </si>
  <si>
    <t>mean</t>
    <phoneticPr fontId="1" type="noConversion"/>
  </si>
  <si>
    <t>std</t>
    <phoneticPr fontId="1" type="noConversion"/>
  </si>
  <si>
    <t>RMSE</t>
    <phoneticPr fontId="1" type="noConversion"/>
  </si>
  <si>
    <t>bias</t>
    <phoneticPr fontId="1" type="noConversion"/>
  </si>
  <si>
    <t>SIM</t>
    <phoneticPr fontId="1" type="noConversion"/>
  </si>
  <si>
    <t>SLOPE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</si>
</sst>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1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>
      <selection activeCell="M9" sqref="M9"/>
    </sheetView>
  </sheetViews>
  <sheetFormatPr defaultRowHeight="15.75" x14ac:dyDescent="0.25"/>
  <cols>
    <col min="1" max="11" width="9" style="1"/>
  </cols>
  <sheetData>
    <row r="1" spans="1:11" x14ac:dyDescent="0.25">
      <c r="A1" s="1" t="s">
        <v>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s="1" t="s">
        <v>0</v>
      </c>
      <c r="B2" s="1">
        <v>0.31819426199920697</v>
      </c>
      <c r="C2" s="1">
        <v>0.35388462831542</v>
      </c>
      <c r="D2" s="1">
        <v>0.39118414080969999</v>
      </c>
      <c r="E2" s="1">
        <v>0.190416482203417</v>
      </c>
      <c r="F2" s="1">
        <v>5.2620696037568297E-2</v>
      </c>
      <c r="G2" s="1">
        <v>9.7763981915492904E-2</v>
      </c>
      <c r="H2" s="1">
        <v>0.231787308127678</v>
      </c>
      <c r="I2" s="1">
        <v>0.32245312162304401</v>
      </c>
      <c r="J2" s="1">
        <v>0.399015486012954</v>
      </c>
      <c r="K2" s="1">
        <v>0.52077582534446998</v>
      </c>
    </row>
    <row r="3" spans="1:11" x14ac:dyDescent="0.25">
      <c r="A3" s="1" t="s">
        <v>1</v>
      </c>
      <c r="B3" s="1">
        <v>0.32456478138192801</v>
      </c>
      <c r="C3" s="1">
        <v>0.32108362125537498</v>
      </c>
      <c r="D3" s="1">
        <v>0.316151644917539</v>
      </c>
      <c r="E3" s="1">
        <v>0.13647225278766001</v>
      </c>
      <c r="F3" s="1">
        <v>1.7077386657253701E-3</v>
      </c>
      <c r="G3" s="1">
        <v>0.14835686147722199</v>
      </c>
      <c r="H3" s="1">
        <v>0.26359159006975502</v>
      </c>
      <c r="I3" s="1">
        <v>0.326348195598126</v>
      </c>
      <c r="J3" s="1">
        <v>0.37065226487777198</v>
      </c>
      <c r="K3" s="1">
        <v>0.43188312478568602</v>
      </c>
    </row>
    <row r="4" spans="1:11" x14ac:dyDescent="0.25">
      <c r="A4" s="1" t="s">
        <v>2</v>
      </c>
      <c r="B4" s="1">
        <v>0.14756937080523899</v>
      </c>
      <c r="C4" s="1">
        <v>0.14754545622319501</v>
      </c>
      <c r="D4" s="1">
        <v>0.163550659638415</v>
      </c>
      <c r="E4" s="1">
        <v>0.106454652733012</v>
      </c>
      <c r="F4" s="2">
        <v>1.4127658748205999E-7</v>
      </c>
      <c r="G4" s="1">
        <v>5.8497790984609201E-2</v>
      </c>
      <c r="H4" s="1">
        <v>0.12910178213361201</v>
      </c>
      <c r="I4" s="1">
        <v>0.16102397231563001</v>
      </c>
      <c r="J4" s="1">
        <v>0.17772383833410199</v>
      </c>
      <c r="K4" s="1">
        <v>0.20687002067337501</v>
      </c>
    </row>
    <row r="5" spans="1:11" x14ac:dyDescent="0.25">
      <c r="A5" s="1" t="s">
        <v>3</v>
      </c>
      <c r="B5" s="1">
        <v>0.39496421267681098</v>
      </c>
      <c r="C5" s="1">
        <v>0.36184213452777603</v>
      </c>
      <c r="D5" s="1">
        <v>0.35586675119988997</v>
      </c>
      <c r="E5" s="1">
        <v>0.13032708774268301</v>
      </c>
      <c r="F5" s="1">
        <v>2.98027245779524E-2</v>
      </c>
      <c r="G5" s="1">
        <v>0.28451799422111601</v>
      </c>
      <c r="H5" s="1">
        <v>0.30597180437707699</v>
      </c>
      <c r="I5" s="1">
        <v>0.37425021253046098</v>
      </c>
      <c r="J5" s="1">
        <v>0.37427712415898301</v>
      </c>
      <c r="K5" s="1">
        <v>0.39370780227889102</v>
      </c>
    </row>
    <row r="6" spans="1:11" x14ac:dyDescent="0.25">
      <c r="A6" s="1" t="s">
        <v>4</v>
      </c>
      <c r="B6" s="1">
        <v>0.30439456655708802</v>
      </c>
      <c r="C6" s="1">
        <v>0.30514240563093098</v>
      </c>
      <c r="D6" s="1">
        <v>0.31665051000503402</v>
      </c>
      <c r="E6" s="1">
        <v>0.122308627336079</v>
      </c>
      <c r="F6" s="1">
        <v>2.2169044831585001E-2</v>
      </c>
      <c r="G6" s="1">
        <v>8.1671050518055399E-2</v>
      </c>
      <c r="H6" s="1">
        <v>0.14027380812023801</v>
      </c>
      <c r="I6" s="1">
        <v>0.193300455667021</v>
      </c>
      <c r="J6" s="1">
        <v>0.31276316147064798</v>
      </c>
      <c r="K6" s="1">
        <v>0.46519426532577901</v>
      </c>
    </row>
    <row r="7" spans="1:11" x14ac:dyDescent="0.25">
      <c r="A7" s="1" t="s">
        <v>6</v>
      </c>
      <c r="B7" s="1">
        <f>AVERAGE(B2:B6)</f>
        <v>0.29793743868405459</v>
      </c>
      <c r="C7" s="1">
        <f t="shared" ref="C7:K7" si="0">AVERAGE(C2:C6)</f>
        <v>0.29789964919053941</v>
      </c>
      <c r="D7" s="1">
        <f t="shared" si="0"/>
        <v>0.3086807413141156</v>
      </c>
      <c r="E7" s="1">
        <f t="shared" si="0"/>
        <v>0.1371958205605702</v>
      </c>
      <c r="F7" s="1">
        <f t="shared" si="0"/>
        <v>2.1260069077883709E-2</v>
      </c>
      <c r="G7" s="1">
        <f t="shared" si="0"/>
        <v>0.13416153582329909</v>
      </c>
      <c r="H7" s="1">
        <f t="shared" si="0"/>
        <v>0.21414525856567196</v>
      </c>
      <c r="I7" s="1">
        <f t="shared" si="0"/>
        <v>0.2754751915468564</v>
      </c>
      <c r="J7" s="1">
        <f t="shared" si="0"/>
        <v>0.32688637497089179</v>
      </c>
      <c r="K7" s="1">
        <f t="shared" si="0"/>
        <v>0.40368620768164021</v>
      </c>
    </row>
    <row r="8" spans="1:11" x14ac:dyDescent="0.25">
      <c r="A8" s="1" t="s">
        <v>7</v>
      </c>
      <c r="B8" s="1">
        <f>STDEV(B2:B6)</f>
        <v>9.1084849837101731E-2</v>
      </c>
      <c r="C8" s="1">
        <f t="shared" ref="C8:K8" si="1">STDEV(C2:C6)</f>
        <v>8.720564308451513E-2</v>
      </c>
      <c r="D8" s="1">
        <f t="shared" si="1"/>
        <v>8.6912891273536561E-2</v>
      </c>
      <c r="E8" s="1">
        <f t="shared" si="1"/>
        <v>3.1807191749875292E-2</v>
      </c>
      <c r="F8" s="1">
        <f t="shared" si="1"/>
        <v>2.1746093200163026E-2</v>
      </c>
      <c r="G8" s="1">
        <f t="shared" si="1"/>
        <v>9.029618916851008E-2</v>
      </c>
      <c r="H8" s="1">
        <f t="shared" si="1"/>
        <v>7.7262022045401807E-2</v>
      </c>
      <c r="I8" s="1">
        <f t="shared" si="1"/>
        <v>9.2740581767355279E-2</v>
      </c>
      <c r="J8" s="1">
        <f t="shared" si="1"/>
        <v>8.9180816859853754E-2</v>
      </c>
      <c r="K8" s="1">
        <f t="shared" si="1"/>
        <v>0.11950362535987015</v>
      </c>
    </row>
    <row r="10" spans="1:11" x14ac:dyDescent="0.25">
      <c r="A10" s="1" t="s">
        <v>8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</row>
    <row r="11" spans="1:11" x14ac:dyDescent="0.25">
      <c r="A11" s="1" t="s">
        <v>0</v>
      </c>
      <c r="B11" s="1">
        <v>80.453171797172004</v>
      </c>
      <c r="C11" s="1">
        <v>77.677499377067406</v>
      </c>
      <c r="D11" s="1">
        <v>71.6171740513918</v>
      </c>
      <c r="E11" s="1">
        <v>64.891488043163704</v>
      </c>
      <c r="F11" s="1">
        <v>61.731077080377702</v>
      </c>
      <c r="G11" s="1">
        <v>57.140376129416502</v>
      </c>
      <c r="H11" s="1">
        <v>54.370338284091403</v>
      </c>
      <c r="I11" s="1">
        <v>52.9925006268125</v>
      </c>
      <c r="J11" s="1">
        <v>51.001597310812599</v>
      </c>
      <c r="K11" s="1">
        <v>44.727507748275997</v>
      </c>
    </row>
    <row r="12" spans="1:11" x14ac:dyDescent="0.25">
      <c r="A12" s="1" t="s">
        <v>1</v>
      </c>
      <c r="B12" s="1">
        <v>76.959199504008893</v>
      </c>
      <c r="C12" s="1">
        <v>69.557966661672694</v>
      </c>
      <c r="D12" s="1">
        <v>62.067728970057999</v>
      </c>
      <c r="E12" s="1">
        <v>56.145445161809903</v>
      </c>
      <c r="F12" s="1">
        <v>52.500830051642197</v>
      </c>
      <c r="G12" s="1">
        <v>48.829715843597803</v>
      </c>
      <c r="H12" s="1">
        <v>46.403515837252797</v>
      </c>
      <c r="I12" s="1">
        <v>45.183800188288203</v>
      </c>
      <c r="J12" s="1">
        <v>44.330994951243298</v>
      </c>
      <c r="K12" s="1">
        <v>41.903491487264297</v>
      </c>
    </row>
    <row r="13" spans="1:11" x14ac:dyDescent="0.25">
      <c r="A13" s="1" t="s">
        <v>2</v>
      </c>
      <c r="B13" s="1">
        <v>62.386769252716</v>
      </c>
      <c r="C13" s="1">
        <v>56.537292859343502</v>
      </c>
      <c r="D13" s="1">
        <v>49.109941392085098</v>
      </c>
      <c r="E13" s="1">
        <v>43.9050000607782</v>
      </c>
      <c r="F13" s="1">
        <v>39.158632402174902</v>
      </c>
      <c r="G13" s="1">
        <v>36.760319190778603</v>
      </c>
      <c r="H13" s="1">
        <v>34.560312111783503</v>
      </c>
      <c r="I13" s="1">
        <v>33.889214096093902</v>
      </c>
      <c r="J13" s="1">
        <v>33.888517082986901</v>
      </c>
      <c r="K13" s="1">
        <v>33.849688977738303</v>
      </c>
    </row>
    <row r="14" spans="1:11" x14ac:dyDescent="0.25">
      <c r="A14" s="1" t="s">
        <v>3</v>
      </c>
      <c r="B14" s="1">
        <v>58.7507228044499</v>
      </c>
      <c r="C14" s="1">
        <v>53.921909980542097</v>
      </c>
      <c r="D14" s="1">
        <v>44.198038456775301</v>
      </c>
      <c r="E14" s="1">
        <v>35.850016527181303</v>
      </c>
      <c r="F14" s="1">
        <v>30.587828600202599</v>
      </c>
      <c r="G14" s="1">
        <v>25.836952918139001</v>
      </c>
      <c r="H14" s="1">
        <v>24.881817896612102</v>
      </c>
      <c r="I14" s="1">
        <v>23.627789875273699</v>
      </c>
      <c r="J14" s="1">
        <v>23.814780867356301</v>
      </c>
      <c r="K14" s="1">
        <v>23.665022946004299</v>
      </c>
    </row>
    <row r="15" spans="1:11" x14ac:dyDescent="0.25">
      <c r="A15" s="1" t="s">
        <v>4</v>
      </c>
      <c r="B15" s="1">
        <v>81.686639983544495</v>
      </c>
      <c r="C15" s="1">
        <v>77.930018627136803</v>
      </c>
      <c r="D15" s="1">
        <v>72.403375874789802</v>
      </c>
      <c r="E15" s="1">
        <v>67.671891931243493</v>
      </c>
      <c r="F15" s="1">
        <v>63.514707690618401</v>
      </c>
      <c r="G15" s="1">
        <v>59.8152005947818</v>
      </c>
      <c r="H15" s="1">
        <v>57.847634194954097</v>
      </c>
      <c r="I15" s="1">
        <v>56.477526619995601</v>
      </c>
      <c r="J15" s="1">
        <v>53.507076646237103</v>
      </c>
      <c r="K15" s="1">
        <v>47.716776563031097</v>
      </c>
    </row>
    <row r="16" spans="1:11" x14ac:dyDescent="0.25">
      <c r="A16" s="1" t="s">
        <v>6</v>
      </c>
      <c r="B16" s="1">
        <f>AVERAGE(B11:B15)</f>
        <v>72.047300668378256</v>
      </c>
      <c r="C16" s="1">
        <f t="shared" ref="C16" si="2">AVERAGE(C11:C15)</f>
        <v>67.124937501152502</v>
      </c>
      <c r="D16" s="1">
        <f t="shared" ref="D16" si="3">AVERAGE(D11:D15)</f>
        <v>59.87925174902</v>
      </c>
      <c r="E16" s="1">
        <f t="shared" ref="E16" si="4">AVERAGE(E11:E15)</f>
        <v>53.692768344835329</v>
      </c>
      <c r="F16" s="1">
        <f t="shared" ref="F16" si="5">AVERAGE(F11:F15)</f>
        <v>49.498615165003159</v>
      </c>
      <c r="G16" s="1">
        <f t="shared" ref="G16" si="6">AVERAGE(G11:G15)</f>
        <v>45.676512935342735</v>
      </c>
      <c r="H16" s="1">
        <f t="shared" ref="H16" si="7">AVERAGE(H11:H15)</f>
        <v>43.612723664938777</v>
      </c>
      <c r="I16" s="1">
        <f t="shared" ref="I16" si="8">AVERAGE(I11:I15)</f>
        <v>42.434166281292775</v>
      </c>
      <c r="J16" s="1">
        <f t="shared" ref="J16" si="9">AVERAGE(J11:J15)</f>
        <v>41.308593371727241</v>
      </c>
      <c r="K16" s="1">
        <f t="shared" ref="K16" si="10">AVERAGE(K11:K15)</f>
        <v>38.372497544462796</v>
      </c>
    </row>
    <row r="17" spans="1:11" x14ac:dyDescent="0.25">
      <c r="A17" s="1" t="s">
        <v>7</v>
      </c>
      <c r="B17" s="1">
        <f>STDEV(B11:B15)</f>
        <v>10.698447693039034</v>
      </c>
      <c r="C17" s="1">
        <f t="shared" ref="C17:K17" si="11">STDEV(C11:C15)</f>
        <v>11.406622264624124</v>
      </c>
      <c r="D17" s="1">
        <f t="shared" si="11"/>
        <v>12.857881177725867</v>
      </c>
      <c r="E17" s="1">
        <f t="shared" si="11"/>
        <v>13.610722272376991</v>
      </c>
      <c r="F17" s="1">
        <f t="shared" si="11"/>
        <v>14.314593606336514</v>
      </c>
      <c r="G17" s="1">
        <f t="shared" si="11"/>
        <v>14.268601799152208</v>
      </c>
      <c r="H17" s="1">
        <f t="shared" si="11"/>
        <v>13.774436983688574</v>
      </c>
      <c r="I17" s="1">
        <f t="shared" si="11"/>
        <v>13.628562669529193</v>
      </c>
      <c r="J17" s="1">
        <f t="shared" si="11"/>
        <v>12.379249158756533</v>
      </c>
      <c r="K17" s="1">
        <f t="shared" si="11"/>
        <v>9.7074099234433486</v>
      </c>
    </row>
    <row r="19" spans="1:11" x14ac:dyDescent="0.25">
      <c r="A19" s="1" t="s">
        <v>9</v>
      </c>
      <c r="B19" s="1">
        <v>1</v>
      </c>
      <c r="C19" s="1">
        <v>2</v>
      </c>
      <c r="D19" s="1">
        <v>3</v>
      </c>
      <c r="E19" s="1">
        <v>4</v>
      </c>
      <c r="F19" s="1">
        <v>5</v>
      </c>
      <c r="G19" s="1">
        <v>6</v>
      </c>
      <c r="H19" s="1">
        <v>7</v>
      </c>
      <c r="I19" s="1">
        <v>8</v>
      </c>
      <c r="J19" s="1">
        <v>9</v>
      </c>
      <c r="K19" s="1">
        <v>10</v>
      </c>
    </row>
    <row r="20" spans="1:11" x14ac:dyDescent="0.25">
      <c r="A20" s="1" t="s">
        <v>0</v>
      </c>
      <c r="B20" s="1">
        <v>3.4723549861176899</v>
      </c>
      <c r="C20" s="1">
        <v>4.0392846252005397</v>
      </c>
      <c r="D20" s="1">
        <v>9.3155822622588307</v>
      </c>
      <c r="E20" s="1">
        <v>7.4620258299408704</v>
      </c>
      <c r="F20" s="1">
        <v>4.2058410923354996</v>
      </c>
      <c r="G20" s="1">
        <v>5.6090236148779198</v>
      </c>
      <c r="H20" s="1">
        <v>6.5170846341289597</v>
      </c>
      <c r="I20" s="1">
        <v>10.0150283505122</v>
      </c>
      <c r="J20" s="1">
        <v>11.484951698062201</v>
      </c>
      <c r="K20" s="1">
        <v>7.7040229274346999</v>
      </c>
    </row>
    <row r="21" spans="1:11" x14ac:dyDescent="0.25">
      <c r="A21" s="1" t="s">
        <v>1</v>
      </c>
      <c r="B21" s="1">
        <v>15.390978505203501</v>
      </c>
      <c r="C21" s="1">
        <v>12.349272541685099</v>
      </c>
      <c r="D21" s="1">
        <v>4.6088567548911898</v>
      </c>
      <c r="E21" s="1">
        <v>3.7398993129925202</v>
      </c>
      <c r="F21" s="1">
        <v>0.96989791493189803</v>
      </c>
      <c r="G21" s="1">
        <v>2.2378979229812201</v>
      </c>
      <c r="H21" s="1">
        <v>5.3366270827421802</v>
      </c>
      <c r="I21" s="1">
        <v>7.3916770510759102</v>
      </c>
      <c r="J21" s="1">
        <v>8.2565454546291903</v>
      </c>
      <c r="K21" s="1">
        <v>7.6459156032672304</v>
      </c>
    </row>
    <row r="22" spans="1:11" x14ac:dyDescent="0.25">
      <c r="A22" s="1" t="s">
        <v>2</v>
      </c>
      <c r="B22" s="1">
        <v>15.628874995575201</v>
      </c>
      <c r="C22" s="1">
        <v>15.2847001055611</v>
      </c>
      <c r="D22" s="1">
        <v>8.6873358141114601</v>
      </c>
      <c r="E22" s="1">
        <v>9.2395032107272606</v>
      </c>
      <c r="F22" s="1">
        <v>10.837788558390001</v>
      </c>
      <c r="G22" s="1">
        <v>8.6813161379289898</v>
      </c>
      <c r="H22" s="1">
        <v>3.8612087700301898</v>
      </c>
      <c r="I22" s="1">
        <v>5.0189073698613702E-2</v>
      </c>
      <c r="J22" s="1">
        <v>3.0386156382218998</v>
      </c>
      <c r="K22" s="1">
        <v>4.4184455909643896</v>
      </c>
    </row>
    <row r="23" spans="1:11" x14ac:dyDescent="0.25">
      <c r="A23" s="1" t="s">
        <v>3</v>
      </c>
      <c r="B23" s="1">
        <v>15.7445396977794</v>
      </c>
      <c r="C23" s="1">
        <v>14.962150076409699</v>
      </c>
      <c r="D23" s="1">
        <v>8.4083536609845009</v>
      </c>
      <c r="E23" s="1">
        <v>8.0850499938417499</v>
      </c>
      <c r="F23" s="1">
        <v>7.9208062417266696</v>
      </c>
      <c r="G23" s="1">
        <v>5.01523346484265</v>
      </c>
      <c r="H23" s="1">
        <v>2.0555953837166099</v>
      </c>
      <c r="I23" s="1">
        <v>1.53256996507607</v>
      </c>
      <c r="J23" s="1">
        <v>3.57370218937033</v>
      </c>
      <c r="K23" s="1">
        <v>3.93403612306009</v>
      </c>
    </row>
    <row r="24" spans="1:11" x14ac:dyDescent="0.25">
      <c r="A24" s="1" t="s">
        <v>4</v>
      </c>
      <c r="B24" s="1">
        <v>8.3701593315453504</v>
      </c>
      <c r="C24" s="1">
        <v>8.8878996133210109</v>
      </c>
      <c r="D24" s="1">
        <v>14.0723772410648</v>
      </c>
      <c r="E24" s="1">
        <v>14.600502674324799</v>
      </c>
      <c r="F24" s="1">
        <v>8.6890122290242306</v>
      </c>
      <c r="G24" s="1">
        <v>6.7115786752897497</v>
      </c>
      <c r="H24" s="1">
        <v>6.3399568256630099</v>
      </c>
      <c r="I24" s="1">
        <v>7.8003787074876998</v>
      </c>
      <c r="J24" s="1">
        <v>7.82973339643803</v>
      </c>
      <c r="K24" s="1">
        <v>4.6497098059887501</v>
      </c>
    </row>
    <row r="25" spans="1:11" x14ac:dyDescent="0.25">
      <c r="A25" s="1" t="s">
        <v>6</v>
      </c>
      <c r="B25" s="1">
        <f>AVERAGE(B20:B24)</f>
        <v>11.721381503244229</v>
      </c>
      <c r="C25" s="1">
        <f t="shared" ref="C25" si="12">AVERAGE(C20:C24)</f>
        <v>11.10466139243549</v>
      </c>
      <c r="D25" s="1">
        <f t="shared" ref="D25" si="13">AVERAGE(D20:D24)</f>
        <v>9.0185011466621567</v>
      </c>
      <c r="E25" s="1">
        <f t="shared" ref="E25" si="14">AVERAGE(E20:E24)</f>
        <v>8.6253962043654404</v>
      </c>
      <c r="F25" s="1">
        <f t="shared" ref="F25" si="15">AVERAGE(F20:F24)</f>
        <v>6.5246692072816597</v>
      </c>
      <c r="G25" s="1">
        <f t="shared" ref="G25" si="16">AVERAGE(G20:G24)</f>
        <v>5.651009963184106</v>
      </c>
      <c r="H25" s="1">
        <f t="shared" ref="H25" si="17">AVERAGE(H20:H24)</f>
        <v>4.8220945392561898</v>
      </c>
      <c r="I25" s="1">
        <f t="shared" ref="I25" si="18">AVERAGE(I20:I24)</f>
        <v>5.3579686295700988</v>
      </c>
      <c r="J25" s="1">
        <f t="shared" ref="J25" si="19">AVERAGE(J20:J24)</f>
        <v>6.8367096753443288</v>
      </c>
      <c r="K25" s="1">
        <f t="shared" ref="K25" si="20">AVERAGE(K20:K24)</f>
        <v>5.6704260101430313</v>
      </c>
    </row>
    <row r="26" spans="1:11" x14ac:dyDescent="0.25">
      <c r="A26" s="1" t="s">
        <v>7</v>
      </c>
      <c r="B26" s="1">
        <f>STDEV(B20:B24)</f>
        <v>5.5721938662432517</v>
      </c>
      <c r="C26" s="1">
        <f t="shared" ref="C26:K26" si="21">STDEV(C20:C24)</f>
        <v>4.709978268298606</v>
      </c>
      <c r="D26" s="1">
        <f t="shared" si="21"/>
        <v>3.3747901734944192</v>
      </c>
      <c r="E26" s="1">
        <f t="shared" si="21"/>
        <v>3.924044765084346</v>
      </c>
      <c r="F26" s="1">
        <f t="shared" si="21"/>
        <v>3.9201092398234798</v>
      </c>
      <c r="G26" s="1">
        <f t="shared" si="21"/>
        <v>2.3644698091781446</v>
      </c>
      <c r="H26" s="1">
        <f t="shared" si="21"/>
        <v>1.8720617056885014</v>
      </c>
      <c r="I26" s="1">
        <f t="shared" si="21"/>
        <v>4.3184412967203354</v>
      </c>
      <c r="J26" s="1">
        <f t="shared" si="21"/>
        <v>3.5242346623380509</v>
      </c>
      <c r="K26" s="1">
        <f t="shared" si="21"/>
        <v>1.8481370304954392</v>
      </c>
    </row>
    <row r="28" spans="1:11" x14ac:dyDescent="0.25">
      <c r="A28" s="1" t="s">
        <v>11</v>
      </c>
      <c r="B28" s="1">
        <v>1</v>
      </c>
      <c r="C28" s="1">
        <v>2</v>
      </c>
      <c r="D28" s="1">
        <v>3</v>
      </c>
      <c r="E28" s="1">
        <v>4</v>
      </c>
      <c r="F28" s="1">
        <v>5</v>
      </c>
      <c r="G28" s="1">
        <v>6</v>
      </c>
      <c r="H28" s="1">
        <v>7</v>
      </c>
      <c r="I28" s="1">
        <v>8</v>
      </c>
      <c r="J28" s="1">
        <v>9</v>
      </c>
      <c r="K28" s="1">
        <v>10</v>
      </c>
    </row>
    <row r="29" spans="1:11" x14ac:dyDescent="0.25">
      <c r="A29" s="1" t="s">
        <v>0</v>
      </c>
      <c r="B29" s="1">
        <v>-1.1039046131730399</v>
      </c>
      <c r="C29" s="1">
        <v>-1.36030069984499</v>
      </c>
      <c r="D29" s="1">
        <v>-2.2097578806388398</v>
      </c>
      <c r="E29" s="1">
        <v>-2.5109683545457702</v>
      </c>
      <c r="F29" s="1">
        <v>-1.72216356321154</v>
      </c>
      <c r="G29" s="1">
        <v>1.73281115019256</v>
      </c>
      <c r="H29" s="1">
        <v>2.0448925924200498</v>
      </c>
      <c r="I29" s="1">
        <v>2.15546758032866</v>
      </c>
      <c r="J29" s="1">
        <v>2.0160243148532402</v>
      </c>
      <c r="K29" s="1">
        <v>1.5978770373026301</v>
      </c>
    </row>
    <row r="30" spans="1:11" x14ac:dyDescent="0.25">
      <c r="A30" s="1" t="s">
        <v>1</v>
      </c>
      <c r="B30" s="1">
        <v>-0.90249088147904699</v>
      </c>
      <c r="C30" s="1">
        <v>-1.2159533311292701</v>
      </c>
      <c r="D30" s="1">
        <v>-1.87571596923169</v>
      </c>
      <c r="E30" s="1">
        <v>-2.0166381263484201</v>
      </c>
      <c r="F30" s="1">
        <v>-0.328066555321186</v>
      </c>
      <c r="G30" s="1">
        <v>1.9330833993844601</v>
      </c>
      <c r="H30" s="1">
        <v>1.8408973419002801</v>
      </c>
      <c r="I30" s="1">
        <v>1.82178805658722</v>
      </c>
      <c r="J30" s="1">
        <v>1.8398736714652699</v>
      </c>
      <c r="K30" s="1">
        <v>1.6268002218766999</v>
      </c>
    </row>
    <row r="31" spans="1:11" x14ac:dyDescent="0.25">
      <c r="A31" s="1" t="s">
        <v>2</v>
      </c>
      <c r="B31" s="1">
        <v>-0.38895760043738298</v>
      </c>
      <c r="C31" s="1">
        <v>-0.48892425922499999</v>
      </c>
      <c r="D31" s="1">
        <v>-0.73264092136042502</v>
      </c>
      <c r="E31" s="1">
        <v>-0.87752859590927601</v>
      </c>
      <c r="F31" s="1">
        <v>-1.5203360173051E-3</v>
      </c>
      <c r="G31" s="1">
        <v>0.66473837647560796</v>
      </c>
      <c r="H31" s="1">
        <v>0.75777689889176403</v>
      </c>
      <c r="I31" s="1">
        <v>0.73077548756211597</v>
      </c>
      <c r="J31" s="1">
        <v>0.70339665340001101</v>
      </c>
      <c r="K31" s="1">
        <v>0.66808003061518895</v>
      </c>
    </row>
    <row r="32" spans="1:11" x14ac:dyDescent="0.25">
      <c r="A32" s="1" t="s">
        <v>3</v>
      </c>
      <c r="B32" s="1">
        <v>-0.56781563279618297</v>
      </c>
      <c r="C32" s="1">
        <v>-0.63670230219278801</v>
      </c>
      <c r="D32" s="1">
        <v>-0.96151653037766205</v>
      </c>
      <c r="E32" s="1">
        <v>-1.02797119896276</v>
      </c>
      <c r="F32" s="1">
        <v>0.58459875983259901</v>
      </c>
      <c r="G32" s="1">
        <v>1.22519262512698</v>
      </c>
      <c r="H32" s="1">
        <v>0.99515385100741904</v>
      </c>
      <c r="I32" s="1">
        <v>1.0731828681878399</v>
      </c>
      <c r="J32" s="1">
        <v>0.99344247231002103</v>
      </c>
      <c r="K32" s="1">
        <v>0.87276400013253796</v>
      </c>
    </row>
    <row r="33" spans="1:11" x14ac:dyDescent="0.25">
      <c r="A33" s="1" t="s">
        <v>4</v>
      </c>
      <c r="B33" s="1">
        <v>-1.1511619478858599</v>
      </c>
      <c r="C33" s="1">
        <v>-1.3909585045553099</v>
      </c>
      <c r="D33" s="1">
        <v>-2.2529854298430401</v>
      </c>
      <c r="E33" s="1">
        <v>-1.8971369975955099</v>
      </c>
      <c r="F33" s="1">
        <v>-1.1658892461634001</v>
      </c>
      <c r="G33" s="1">
        <v>2.1099124295874798</v>
      </c>
      <c r="H33" s="1">
        <v>1.62706141130881</v>
      </c>
      <c r="I33" s="1">
        <v>1.59046493146269</v>
      </c>
      <c r="J33" s="1">
        <v>1.76744891808098</v>
      </c>
      <c r="K33" s="1">
        <v>1.60326759832829</v>
      </c>
    </row>
    <row r="34" spans="1:11" x14ac:dyDescent="0.25">
      <c r="A34" s="1" t="s">
        <v>6</v>
      </c>
      <c r="B34" s="1">
        <f>AVERAGE(B29:B33)</f>
        <v>-0.82286613515430251</v>
      </c>
      <c r="C34" s="1">
        <f t="shared" ref="C34" si="22">AVERAGE(C29:C33)</f>
        <v>-1.0185678193894716</v>
      </c>
      <c r="D34" s="1">
        <f t="shared" ref="D34" si="23">AVERAGE(D29:D33)</f>
        <v>-1.6065233462903314</v>
      </c>
      <c r="E34" s="1">
        <f t="shared" ref="E34" si="24">AVERAGE(E29:E33)</f>
        <v>-1.6660486546723472</v>
      </c>
      <c r="F34" s="1">
        <f t="shared" ref="F34" si="25">AVERAGE(F29:F33)</f>
        <v>-0.52660818817616639</v>
      </c>
      <c r="G34" s="1">
        <f t="shared" ref="G34" si="26">AVERAGE(G29:G33)</f>
        <v>1.5331475961534176</v>
      </c>
      <c r="H34" s="1">
        <f t="shared" ref="H34" si="27">AVERAGE(H29:H33)</f>
        <v>1.4531564191056645</v>
      </c>
      <c r="I34" s="1">
        <f t="shared" ref="I34" si="28">AVERAGE(I29:I33)</f>
        <v>1.4743357848257053</v>
      </c>
      <c r="J34" s="1">
        <f t="shared" ref="J34" si="29">AVERAGE(J29:J33)</f>
        <v>1.4640372060219045</v>
      </c>
      <c r="K34" s="1">
        <f t="shared" ref="K34" si="30">AVERAGE(K29:K33)</f>
        <v>1.2737577776510693</v>
      </c>
    </row>
    <row r="35" spans="1:11" x14ac:dyDescent="0.25">
      <c r="A35" s="1" t="s">
        <v>7</v>
      </c>
      <c r="B35" s="1">
        <f>STDEV(B29:B33)</f>
        <v>0.33407642922868558</v>
      </c>
      <c r="C35" s="1">
        <f t="shared" ref="C35:K35" si="31">STDEV(C29:C33)</f>
        <v>0.42448816187117533</v>
      </c>
      <c r="D35" s="1">
        <f t="shared" si="31"/>
        <v>0.71308731623890109</v>
      </c>
      <c r="E35" s="1">
        <f t="shared" si="31"/>
        <v>0.69265987715397037</v>
      </c>
      <c r="F35" s="1">
        <f t="shared" si="31"/>
        <v>0.92031921631053271</v>
      </c>
      <c r="G35" s="1">
        <f t="shared" si="31"/>
        <v>0.58767395118491073</v>
      </c>
      <c r="H35" s="1">
        <f t="shared" si="31"/>
        <v>0.55318547925832495</v>
      </c>
      <c r="I35" s="1">
        <f t="shared" si="31"/>
        <v>0.57270305588710946</v>
      </c>
      <c r="J35" s="1">
        <f t="shared" si="31"/>
        <v>0.57836730063555974</v>
      </c>
      <c r="K35" s="1">
        <f t="shared" si="31"/>
        <v>0.46527156765905497</v>
      </c>
    </row>
    <row r="37" spans="1:11" x14ac:dyDescent="0.25">
      <c r="A37" s="1" t="s">
        <v>10</v>
      </c>
      <c r="B37" s="1">
        <v>1</v>
      </c>
      <c r="C37" s="1">
        <v>2</v>
      </c>
      <c r="D37" s="1">
        <v>3</v>
      </c>
      <c r="E37" s="1">
        <v>4</v>
      </c>
      <c r="F37" s="1">
        <v>5</v>
      </c>
      <c r="G37" s="1">
        <v>6</v>
      </c>
      <c r="H37" s="1">
        <v>7</v>
      </c>
      <c r="I37" s="1">
        <v>8</v>
      </c>
      <c r="J37" s="1">
        <v>9</v>
      </c>
      <c r="K37" s="1">
        <v>10</v>
      </c>
    </row>
    <row r="38" spans="1:11" x14ac:dyDescent="0.25">
      <c r="A38" s="1" t="s">
        <v>0</v>
      </c>
      <c r="B38" s="1">
        <v>9.4012775885975203E-2</v>
      </c>
      <c r="C38" s="1">
        <v>0.19079112398977799</v>
      </c>
      <c r="D38" s="1">
        <v>0.28144646347945101</v>
      </c>
      <c r="E38" s="1">
        <v>0.35059622424597398</v>
      </c>
      <c r="F38" s="1">
        <v>0.425098052258301</v>
      </c>
      <c r="G38" s="1">
        <v>0.51809948311337195</v>
      </c>
      <c r="H38" s="1">
        <v>0.59261895430054101</v>
      </c>
      <c r="I38" s="1">
        <v>0.66407042033653696</v>
      </c>
      <c r="J38" s="1">
        <v>0.73967492464691798</v>
      </c>
      <c r="K38" s="1">
        <v>0.83422870009257699</v>
      </c>
    </row>
    <row r="39" spans="1:11" x14ac:dyDescent="0.25">
      <c r="A39" s="1" t="s">
        <v>1</v>
      </c>
      <c r="B39" s="1">
        <v>0.27782494511473099</v>
      </c>
      <c r="C39" s="1">
        <v>0.36985919022539698</v>
      </c>
      <c r="D39" s="1">
        <v>0.438277057175187</v>
      </c>
      <c r="E39" s="1">
        <v>0.497371684075057</v>
      </c>
      <c r="F39" s="1">
        <v>0.54830871967369699</v>
      </c>
      <c r="G39" s="1">
        <v>0.59387200997067602</v>
      </c>
      <c r="H39" s="1">
        <v>0.64636570233415302</v>
      </c>
      <c r="I39" s="1">
        <v>0.69678325632405802</v>
      </c>
      <c r="J39" s="1">
        <v>0.74773756498579802</v>
      </c>
      <c r="K39" s="1">
        <v>0.85087721367308</v>
      </c>
    </row>
    <row r="40" spans="1:11" x14ac:dyDescent="0.25">
      <c r="A40" s="1" t="s">
        <v>2</v>
      </c>
      <c r="B40" s="1">
        <v>0.23997301930547699</v>
      </c>
      <c r="C40" s="1">
        <v>0.32990365630884</v>
      </c>
      <c r="D40" s="1">
        <v>0.41702050710572802</v>
      </c>
      <c r="E40" s="1">
        <v>0.49899211227940399</v>
      </c>
      <c r="F40" s="1">
        <v>0.561116785758073</v>
      </c>
      <c r="G40" s="1">
        <v>0.614829955064634</v>
      </c>
      <c r="H40" s="1">
        <v>0.66262532542051</v>
      </c>
      <c r="I40" s="1">
        <v>0.70492101140993602</v>
      </c>
      <c r="J40" s="1">
        <v>0.759456611902804</v>
      </c>
      <c r="K40" s="1">
        <v>0.85421308839263399</v>
      </c>
    </row>
    <row r="41" spans="1:11" x14ac:dyDescent="0.25">
      <c r="A41" s="1" t="s">
        <v>3</v>
      </c>
      <c r="B41" s="1">
        <v>0.19768479227576299</v>
      </c>
      <c r="C41" s="1">
        <v>0.33757638511362797</v>
      </c>
      <c r="D41" s="1">
        <v>0.42546974908608698</v>
      </c>
      <c r="E41" s="1">
        <v>0.50881441522793602</v>
      </c>
      <c r="F41" s="1">
        <v>0.57644553512044905</v>
      </c>
      <c r="G41" s="1">
        <v>0.63903901083498305</v>
      </c>
      <c r="H41" s="1">
        <v>0.69933620068370606</v>
      </c>
      <c r="I41" s="1">
        <v>0.75488565806394803</v>
      </c>
      <c r="J41" s="1">
        <v>0.82014371530508001</v>
      </c>
      <c r="K41" s="1">
        <v>0.90647900430172201</v>
      </c>
    </row>
    <row r="42" spans="1:11" x14ac:dyDescent="0.25">
      <c r="A42" s="1" t="s">
        <v>4</v>
      </c>
      <c r="B42" s="1">
        <v>0.29447885055981798</v>
      </c>
      <c r="C42" s="1">
        <v>0.40553415597115</v>
      </c>
      <c r="D42" s="1">
        <v>0.48867871007956898</v>
      </c>
      <c r="E42" s="1">
        <v>0.55021620099286295</v>
      </c>
      <c r="F42" s="1">
        <v>0.59899122006731198</v>
      </c>
      <c r="G42" s="1">
        <v>0.64111089814240996</v>
      </c>
      <c r="H42" s="1">
        <v>0.68189965325927804</v>
      </c>
      <c r="I42" s="1">
        <v>0.72968736447150095</v>
      </c>
      <c r="J42" s="1">
        <v>0.78704624298692705</v>
      </c>
      <c r="K42" s="1">
        <v>0.86986129754354602</v>
      </c>
    </row>
    <row r="43" spans="1:11" x14ac:dyDescent="0.25">
      <c r="A43" s="1" t="s">
        <v>6</v>
      </c>
      <c r="B43" s="1">
        <f>AVERAGE(B38:B42)</f>
        <v>0.22079487662835282</v>
      </c>
      <c r="C43" s="1">
        <f t="shared" ref="C43:K43" si="32">AVERAGE(C38:C42)</f>
        <v>0.32673290232175861</v>
      </c>
      <c r="D43" s="1">
        <f t="shared" si="32"/>
        <v>0.4101784973852044</v>
      </c>
      <c r="E43" s="1">
        <f t="shared" si="32"/>
        <v>0.48119812736424683</v>
      </c>
      <c r="F43" s="1">
        <f t="shared" si="32"/>
        <v>0.54199206257556631</v>
      </c>
      <c r="G43" s="1">
        <f t="shared" si="32"/>
        <v>0.60139027142521495</v>
      </c>
      <c r="H43" s="1">
        <f t="shared" si="32"/>
        <v>0.65656916719963765</v>
      </c>
      <c r="I43" s="1">
        <f t="shared" si="32"/>
        <v>0.710069542121196</v>
      </c>
      <c r="J43" s="1">
        <f t="shared" si="32"/>
        <v>0.77081181196550541</v>
      </c>
      <c r="K43" s="1">
        <f t="shared" si="32"/>
        <v>0.86313186080071191</v>
      </c>
    </row>
    <row r="44" spans="1:11" x14ac:dyDescent="0.25">
      <c r="A44" s="1" t="s">
        <v>7</v>
      </c>
      <c r="B44" s="1">
        <f>STDEV(B38:B42)</f>
        <v>8.0089535755103775E-2</v>
      </c>
      <c r="C44" s="1">
        <f t="shared" ref="C44:K44" si="33">STDEV(C38:C42)</f>
        <v>8.1665960137974017E-2</v>
      </c>
      <c r="D44" s="1">
        <f t="shared" si="33"/>
        <v>7.7143347873357387E-2</v>
      </c>
      <c r="E44" s="1">
        <f t="shared" si="33"/>
        <v>7.6094054920092871E-2</v>
      </c>
      <c r="F44" s="1">
        <f t="shared" si="33"/>
        <v>6.8018031739616694E-2</v>
      </c>
      <c r="G44" s="1">
        <f t="shared" si="33"/>
        <v>5.0422367395794913E-2</v>
      </c>
      <c r="H44" s="1">
        <f t="shared" si="33"/>
        <v>4.0930032233502667E-2</v>
      </c>
      <c r="I44" s="1">
        <f t="shared" si="33"/>
        <v>3.4323079573700219E-2</v>
      </c>
      <c r="J44" s="1">
        <f t="shared" si="33"/>
        <v>3.2893998813344927E-2</v>
      </c>
      <c r="K44" s="1">
        <f t="shared" si="33"/>
        <v>2.7337582853020816E-2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棋治 韩</cp:lastModifiedBy>
  <dcterms:created xsi:type="dcterms:W3CDTF">2015-06-05T18:19:34Z</dcterms:created>
  <dcterms:modified xsi:type="dcterms:W3CDTF">2025-11-12T07:32:09Z</dcterms:modified>
</cp:coreProperties>
</file>