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an05\data\fluxdata\MM\Classification\PFT\forest\"/>
    </mc:Choice>
  </mc:AlternateContent>
  <xr:revisionPtr revIDLastSave="0" documentId="13_ncr:1_{8DCE9591-9F32-4EAE-A240-1DC05D809917}" xr6:coauthVersionLast="47" xr6:coauthVersionMax="47" xr10:uidLastSave="{00000000-0000-0000-0000-000000000000}"/>
  <bookViews>
    <workbookView xWindow="870" yWindow="3240" windowWidth="18810" windowHeight="12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C8" i="1"/>
  <c r="D8" i="1"/>
  <c r="E8" i="1"/>
  <c r="F8" i="1"/>
  <c r="G8" i="1"/>
  <c r="H8" i="1"/>
  <c r="I8" i="1"/>
  <c r="J8" i="1"/>
  <c r="K8" i="1"/>
  <c r="B8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<sst xmlns="http://schemas.openxmlformats.org/spreadsheetml/2006/main" count="40" uniqueCount="12">
  <si>
    <t>fold1</t>
    <phoneticPr fontId="1" type="noConversion"/>
  </si>
  <si>
    <t>fold2</t>
    <phoneticPr fontId="1" type="noConversion"/>
  </si>
  <si>
    <t>fold3</t>
  </si>
  <si>
    <t>fold4</t>
  </si>
  <si>
    <t>fold5</t>
  </si>
  <si>
    <t>R2</t>
    <phoneticPr fontId="1" type="noConversion"/>
  </si>
  <si>
    <t>mean</t>
    <phoneticPr fontId="1" type="noConversion"/>
  </si>
  <si>
    <t>std</t>
    <phoneticPr fontId="1" type="noConversion"/>
  </si>
  <si>
    <t>RMSE</t>
    <phoneticPr fontId="1" type="noConversion"/>
  </si>
  <si>
    <t>bias</t>
    <phoneticPr fontId="1" type="noConversion"/>
  </si>
  <si>
    <t>SIM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</si>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</sst>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5" workbookViewId="0">
      <selection activeCell="L37" sqref="L37"/>
    </sheetView>
  </sheetViews>
  <sheetFormatPr defaultRowHeight="15.75" x14ac:dyDescent="0.25"/>
  <cols>
    <col min="1" max="11" width="9" style="1"/>
  </cols>
  <sheetData>
    <row r="1" spans="1:11" x14ac:dyDescent="0.25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0</v>
      </c>
      <c r="B2" s="1">
        <v>0.39757356662418197</v>
      </c>
      <c r="C2" s="1">
        <v>0.43619491771602198</v>
      </c>
      <c r="D2" s="1">
        <v>0.49012094919439803</v>
      </c>
      <c r="E2" s="1">
        <v>0.45411546453718399</v>
      </c>
      <c r="F2" s="1">
        <v>5.1103899190982703E-2</v>
      </c>
      <c r="G2" s="1">
        <v>0.29455317999033598</v>
      </c>
      <c r="H2" s="1">
        <v>0.38411273346382602</v>
      </c>
      <c r="I2" s="1">
        <v>0.42692274872301</v>
      </c>
      <c r="J2" s="1">
        <v>0.47703183528487503</v>
      </c>
      <c r="K2" s="1">
        <v>0.55232462933887805</v>
      </c>
    </row>
    <row r="3" spans="1:11" x14ac:dyDescent="0.25">
      <c r="A3" s="1" t="s">
        <v>1</v>
      </c>
      <c r="B3" s="1">
        <v>0.23325091628672101</v>
      </c>
      <c r="C3" s="1">
        <v>0.23976342811895099</v>
      </c>
      <c r="D3" s="1">
        <v>0.20823204067701701</v>
      </c>
      <c r="E3" s="1">
        <v>0.13602863291654799</v>
      </c>
      <c r="F3" s="1">
        <v>3.8210175756479697E-2</v>
      </c>
      <c r="G3" s="1">
        <v>0.189137412983924</v>
      </c>
      <c r="H3" s="1">
        <v>0.211314056534365</v>
      </c>
      <c r="I3" s="1">
        <v>0.22734983666259401</v>
      </c>
      <c r="J3" s="1">
        <v>0.244884510910925</v>
      </c>
      <c r="K3" s="1">
        <v>0.30223612874750899</v>
      </c>
    </row>
    <row r="4" spans="1:11" x14ac:dyDescent="0.25">
      <c r="A4" s="1" t="s">
        <v>2</v>
      </c>
      <c r="B4" s="1">
        <v>0.34555955106686698</v>
      </c>
      <c r="C4" s="1">
        <v>0.35329295473086297</v>
      </c>
      <c r="D4" s="1">
        <v>0.39046247658530298</v>
      </c>
      <c r="E4" s="1">
        <v>0.37483160811961602</v>
      </c>
      <c r="F4" s="2">
        <v>6.7190111155794596E-3</v>
      </c>
      <c r="G4" s="1">
        <v>0.26861363535795602</v>
      </c>
      <c r="H4" s="1">
        <v>0.34046980477407701</v>
      </c>
      <c r="I4" s="1">
        <v>0.37332034242328199</v>
      </c>
      <c r="J4" s="1">
        <v>0.40597561900342999</v>
      </c>
      <c r="K4" s="1">
        <v>0.446336859111921</v>
      </c>
    </row>
    <row r="5" spans="1:11" x14ac:dyDescent="0.25">
      <c r="A5" s="1" t="s">
        <v>3</v>
      </c>
      <c r="B5" s="1">
        <v>0.36217174146293701</v>
      </c>
      <c r="C5" s="1">
        <v>0.407562914769177</v>
      </c>
      <c r="D5" s="1">
        <v>0.42995645035358199</v>
      </c>
      <c r="E5" s="1">
        <v>0.36662668476593702</v>
      </c>
      <c r="F5" s="1">
        <v>1.4406403247947799E-2</v>
      </c>
      <c r="G5" s="1">
        <v>0.27194043601045398</v>
      </c>
      <c r="H5" s="1">
        <v>0.35573958734960898</v>
      </c>
      <c r="I5" s="1">
        <v>0.39803419662310802</v>
      </c>
      <c r="J5" s="1">
        <v>0.43577224884526899</v>
      </c>
      <c r="K5" s="1">
        <v>0.48502705741743002</v>
      </c>
    </row>
    <row r="6" spans="1:11" x14ac:dyDescent="0.25">
      <c r="A6" s="1" t="s">
        <v>4</v>
      </c>
      <c r="B6" s="1">
        <v>0.20674074967402001</v>
      </c>
      <c r="C6" s="1">
        <v>0.20328869477304201</v>
      </c>
      <c r="D6" s="1">
        <v>0.21290241472735799</v>
      </c>
      <c r="E6" s="1">
        <v>0.16816777494968199</v>
      </c>
      <c r="F6" s="2">
        <v>2.89541486861381E-5</v>
      </c>
      <c r="G6" s="1">
        <v>0.15483023356078601</v>
      </c>
      <c r="H6" s="1">
        <v>0.19240568370618999</v>
      </c>
      <c r="I6" s="1">
        <v>0.216460693316433</v>
      </c>
      <c r="J6" s="1">
        <v>0.25188669428062099</v>
      </c>
      <c r="K6" s="1">
        <v>0.27222921091612001</v>
      </c>
    </row>
    <row r="7" spans="1:11" x14ac:dyDescent="0.25">
      <c r="A7" s="1" t="s">
        <v>6</v>
      </c>
      <c r="B7" s="1">
        <f>AVERAGE(B2:B6)</f>
        <v>0.30905930502294537</v>
      </c>
      <c r="C7" s="1">
        <f t="shared" ref="C7:K7" si="0">AVERAGE(C2:C6)</f>
        <v>0.328020582021611</v>
      </c>
      <c r="D7" s="1">
        <f t="shared" si="0"/>
        <v>0.34633486630753157</v>
      </c>
      <c r="E7" s="1">
        <f t="shared" si="0"/>
        <v>0.29995403305779339</v>
      </c>
      <c r="F7" s="1">
        <f t="shared" si="0"/>
        <v>2.2093688691935162E-2</v>
      </c>
      <c r="G7" s="1">
        <f t="shared" si="0"/>
        <v>0.2358149795806912</v>
      </c>
      <c r="H7" s="1">
        <f t="shared" si="0"/>
        <v>0.29680837316561337</v>
      </c>
      <c r="I7" s="1">
        <f t="shared" si="0"/>
        <v>0.32841756354968543</v>
      </c>
      <c r="J7" s="1">
        <f t="shared" si="0"/>
        <v>0.36311018166502407</v>
      </c>
      <c r="K7" s="1">
        <f t="shared" si="0"/>
        <v>0.41163077710637158</v>
      </c>
    </row>
    <row r="8" spans="1:11" x14ac:dyDescent="0.25">
      <c r="A8" s="1" t="s">
        <v>7</v>
      </c>
      <c r="B8" s="1">
        <f>STDEV(B2:B6)</f>
        <v>8.3970191056327942E-2</v>
      </c>
      <c r="C8" s="1">
        <f t="shared" ref="C8:K8" si="1">STDEV(C2:C6)</f>
        <v>0.102487476473707</v>
      </c>
      <c r="D8" s="1">
        <f t="shared" si="1"/>
        <v>0.12892911087199627</v>
      </c>
      <c r="E8" s="1">
        <f t="shared" si="1"/>
        <v>0.13969323115877375</v>
      </c>
      <c r="F8" s="1">
        <f t="shared" si="1"/>
        <v>2.1700582060390453E-2</v>
      </c>
      <c r="G8" s="1">
        <f t="shared" si="1"/>
        <v>6.0349608370150083E-2</v>
      </c>
      <c r="H8" s="1">
        <f t="shared" si="1"/>
        <v>8.8332411499100441E-2</v>
      </c>
      <c r="I8" s="1">
        <f t="shared" si="1"/>
        <v>9.9140093891965222E-2</v>
      </c>
      <c r="J8" s="1">
        <f t="shared" si="1"/>
        <v>0.10775358260842816</v>
      </c>
      <c r="K8" s="1">
        <f t="shared" si="1"/>
        <v>0.12019387660520815</v>
      </c>
    </row>
    <row r="10" spans="1:11" x14ac:dyDescent="0.25">
      <c r="A10" s="1" t="s">
        <v>8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</row>
    <row r="11" spans="1:11" x14ac:dyDescent="0.25">
      <c r="A11" s="1" t="s">
        <v>0</v>
      </c>
      <c r="B11" s="1">
        <v>101.22105035763001</v>
      </c>
      <c r="C11" s="1">
        <v>88.654809821321393</v>
      </c>
      <c r="D11" s="1">
        <v>78.831538973504294</v>
      </c>
      <c r="E11" s="1">
        <v>70.451034452557295</v>
      </c>
      <c r="F11" s="1">
        <v>64.258878980801597</v>
      </c>
      <c r="G11" s="1">
        <v>56.559080280886697</v>
      </c>
      <c r="H11" s="1">
        <v>52.723112047342603</v>
      </c>
      <c r="I11" s="1">
        <v>50.386459634236097</v>
      </c>
      <c r="J11" s="1">
        <v>47.665700999763096</v>
      </c>
      <c r="K11" s="1">
        <v>43.359212988858403</v>
      </c>
    </row>
    <row r="12" spans="1:11" x14ac:dyDescent="0.25">
      <c r="A12" s="1" t="s">
        <v>1</v>
      </c>
      <c r="B12" s="1">
        <v>100.495595688004</v>
      </c>
      <c r="C12" s="1">
        <v>81.630812288384504</v>
      </c>
      <c r="D12" s="1">
        <v>69.032562233236902</v>
      </c>
      <c r="E12" s="1">
        <v>61.892105858342802</v>
      </c>
      <c r="F12" s="1">
        <v>56.913785099374401</v>
      </c>
      <c r="G12" s="1">
        <v>53.226671370023602</v>
      </c>
      <c r="H12" s="1">
        <v>51.784072746783998</v>
      </c>
      <c r="I12" s="1">
        <v>50.9458841396129</v>
      </c>
      <c r="J12" s="1">
        <v>50.236896759113797</v>
      </c>
      <c r="K12" s="1">
        <v>48.352152549297202</v>
      </c>
    </row>
    <row r="13" spans="1:11" x14ac:dyDescent="0.25">
      <c r="A13" s="1" t="s">
        <v>2</v>
      </c>
      <c r="B13" s="1">
        <v>106.21985361661</v>
      </c>
      <c r="C13" s="1">
        <v>94.040286360587302</v>
      </c>
      <c r="D13" s="1">
        <v>83.568711790055701</v>
      </c>
      <c r="E13" s="1">
        <v>75.719933409463806</v>
      </c>
      <c r="F13" s="1">
        <v>69.617277876119999</v>
      </c>
      <c r="G13" s="1">
        <v>63.187380039561702</v>
      </c>
      <c r="H13" s="1">
        <v>60.010972448391001</v>
      </c>
      <c r="I13" s="1">
        <v>58.214580521063297</v>
      </c>
      <c r="J13" s="1">
        <v>56.233703762060799</v>
      </c>
      <c r="K13" s="1">
        <v>52.704567282187597</v>
      </c>
    </row>
    <row r="14" spans="1:11" x14ac:dyDescent="0.25">
      <c r="A14" s="1" t="s">
        <v>3</v>
      </c>
      <c r="B14" s="1">
        <v>105.01811901382899</v>
      </c>
      <c r="C14" s="1">
        <v>89.891800955461406</v>
      </c>
      <c r="D14" s="1">
        <v>77.936157601581698</v>
      </c>
      <c r="E14" s="1">
        <v>70.575196036506895</v>
      </c>
      <c r="F14" s="1">
        <v>64.9205218935939</v>
      </c>
      <c r="G14" s="1">
        <v>58.217900554656097</v>
      </c>
      <c r="H14" s="1">
        <v>54.645255197064699</v>
      </c>
      <c r="I14" s="1">
        <v>52.278114742541099</v>
      </c>
      <c r="J14" s="1">
        <v>50.0164668573548</v>
      </c>
      <c r="K14" s="1">
        <v>46.5654509050133</v>
      </c>
    </row>
    <row r="15" spans="1:11" x14ac:dyDescent="0.25">
      <c r="A15" s="1" t="s">
        <v>4</v>
      </c>
      <c r="B15" s="1">
        <v>105.23568527691801</v>
      </c>
      <c r="C15" s="1">
        <v>91.134757892914706</v>
      </c>
      <c r="D15" s="1">
        <v>82.573961549954205</v>
      </c>
      <c r="E15" s="1">
        <v>75.408053325380706</v>
      </c>
      <c r="F15" s="1">
        <v>70.493466269101006</v>
      </c>
      <c r="G15" s="1">
        <v>65.793955056538096</v>
      </c>
      <c r="H15" s="1">
        <v>64.069687169113294</v>
      </c>
      <c r="I15" s="1">
        <v>63.218064852051299</v>
      </c>
      <c r="J15" s="1">
        <v>61.935410977568502</v>
      </c>
      <c r="K15" s="1">
        <v>60.1890010225951</v>
      </c>
    </row>
    <row r="16" spans="1:11" x14ac:dyDescent="0.25">
      <c r="A16" s="1" t="s">
        <v>6</v>
      </c>
      <c r="B16" s="1">
        <f>AVERAGE(B11:B15)</f>
        <v>103.6380607905982</v>
      </c>
      <c r="C16" s="1">
        <f t="shared" ref="C16" si="2">AVERAGE(C11:C15)</f>
        <v>89.070493463733868</v>
      </c>
      <c r="D16" s="1">
        <f t="shared" ref="D16" si="3">AVERAGE(D11:D15)</f>
        <v>78.38858642966656</v>
      </c>
      <c r="E16" s="1">
        <f t="shared" ref="E16" si="4">AVERAGE(E11:E15)</f>
        <v>70.809264616450292</v>
      </c>
      <c r="F16" s="1">
        <f t="shared" ref="F16" si="5">AVERAGE(F11:F15)</f>
        <v>65.240786023798179</v>
      </c>
      <c r="G16" s="1">
        <f t="shared" ref="G16" si="6">AVERAGE(G11:G15)</f>
        <v>59.396997460333239</v>
      </c>
      <c r="H16" s="1">
        <f t="shared" ref="H16" si="7">AVERAGE(H11:H15)</f>
        <v>56.646619921739116</v>
      </c>
      <c r="I16" s="1">
        <f t="shared" ref="I16" si="8">AVERAGE(I11:I15)</f>
        <v>55.00862077790093</v>
      </c>
      <c r="J16" s="1">
        <f t="shared" ref="J16" si="9">AVERAGE(J11:J15)</f>
        <v>53.217635871172206</v>
      </c>
      <c r="K16" s="1">
        <f t="shared" ref="K16" si="10">AVERAGE(K11:K15)</f>
        <v>50.234076949590317</v>
      </c>
    </row>
    <row r="17" spans="1:11" x14ac:dyDescent="0.25">
      <c r="A17" s="1" t="s">
        <v>7</v>
      </c>
      <c r="B17" s="1">
        <f>STDEV(B11:B15)</f>
        <v>2.5903496505945385</v>
      </c>
      <c r="C17" s="1">
        <f t="shared" ref="C17:K17" si="11">STDEV(C11:C15)</f>
        <v>4.6140065005529873</v>
      </c>
      <c r="D17" s="1">
        <f t="shared" si="11"/>
        <v>5.7508075783237027</v>
      </c>
      <c r="E17" s="1">
        <f t="shared" si="11"/>
        <v>5.589328288171024</v>
      </c>
      <c r="F17" s="1">
        <f t="shared" si="11"/>
        <v>5.4117923473275029</v>
      </c>
      <c r="G17" s="1">
        <f t="shared" si="11"/>
        <v>5.0696408668586344</v>
      </c>
      <c r="H17" s="1">
        <f t="shared" si="11"/>
        <v>5.2312650265713634</v>
      </c>
      <c r="I17" s="1">
        <f t="shared" si="11"/>
        <v>5.5452460657893647</v>
      </c>
      <c r="J17" s="1">
        <f t="shared" si="11"/>
        <v>5.8106053439744993</v>
      </c>
      <c r="K17" s="1">
        <f t="shared" si="11"/>
        <v>6.5089946759212891</v>
      </c>
    </row>
    <row r="19" spans="1:11" x14ac:dyDescent="0.25">
      <c r="A19" s="1" t="s">
        <v>9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</row>
    <row r="20" spans="1:11" x14ac:dyDescent="0.25">
      <c r="A20" s="1" t="s">
        <v>0</v>
      </c>
      <c r="B20" s="1">
        <v>14.3187480508979</v>
      </c>
      <c r="C20" s="1">
        <v>6.2067094893527903</v>
      </c>
      <c r="D20" s="1">
        <v>2.3124908604253198</v>
      </c>
      <c r="E20" s="1">
        <v>3.5852068686034402</v>
      </c>
      <c r="F20" s="1">
        <v>4.5454837155476699</v>
      </c>
      <c r="G20" s="1">
        <v>3.6346501044776098</v>
      </c>
      <c r="H20" s="1">
        <v>2.5016665976877199</v>
      </c>
      <c r="I20" s="1">
        <v>2.1017162289003601</v>
      </c>
      <c r="J20" s="1">
        <v>2.6180786597377801</v>
      </c>
      <c r="K20" s="1">
        <v>5.5842375365571097</v>
      </c>
    </row>
    <row r="21" spans="1:11" x14ac:dyDescent="0.25">
      <c r="A21" s="1" t="s">
        <v>1</v>
      </c>
      <c r="B21" s="1">
        <v>24.647966715586499</v>
      </c>
      <c r="C21" s="1">
        <v>10.556140234828799</v>
      </c>
      <c r="D21" s="1">
        <v>4.0156959037761304</v>
      </c>
      <c r="E21" s="1">
        <v>4.4338566311740397</v>
      </c>
      <c r="F21" s="1">
        <v>4.35018937306255</v>
      </c>
      <c r="G21" s="1">
        <v>2.69208779900422</v>
      </c>
      <c r="H21" s="1">
        <v>1.4406805513051799</v>
      </c>
      <c r="I21" s="1">
        <v>0.86955715083918494</v>
      </c>
      <c r="J21" s="1">
        <v>1.05759361877632</v>
      </c>
      <c r="K21" s="1">
        <v>3.2214420271579298</v>
      </c>
    </row>
    <row r="22" spans="1:11" x14ac:dyDescent="0.25">
      <c r="A22" s="1" t="s">
        <v>2</v>
      </c>
      <c r="B22" s="1">
        <v>15.735930158139301</v>
      </c>
      <c r="C22" s="1">
        <v>5.1223381374269596</v>
      </c>
      <c r="D22" s="1">
        <v>2.53613404919576</v>
      </c>
      <c r="E22" s="1">
        <v>3.6039872386590899</v>
      </c>
      <c r="F22" s="1">
        <v>3.9045854442791699</v>
      </c>
      <c r="G22" s="1">
        <v>5.5623971733317399</v>
      </c>
      <c r="H22" s="1">
        <v>7.4080607334515003</v>
      </c>
      <c r="I22" s="1">
        <v>8.4889022883014391</v>
      </c>
      <c r="J22" s="1">
        <v>8.0404791400820006</v>
      </c>
      <c r="K22" s="1">
        <v>5.02147127539022</v>
      </c>
    </row>
    <row r="23" spans="1:11" x14ac:dyDescent="0.25">
      <c r="A23" s="1" t="s">
        <v>3</v>
      </c>
      <c r="B23" s="1">
        <v>19.489005346944001</v>
      </c>
      <c r="C23" s="1">
        <v>5.9306956639970903</v>
      </c>
      <c r="D23" s="1">
        <v>1.2802355292429699</v>
      </c>
      <c r="E23" s="1">
        <v>3.0049395679893101</v>
      </c>
      <c r="F23" s="1">
        <v>3.9260735896634</v>
      </c>
      <c r="G23" s="1">
        <v>2.9698680828538002</v>
      </c>
      <c r="H23" s="1">
        <v>1.0276783307314901</v>
      </c>
      <c r="I23" s="1">
        <v>0.16081566308256001</v>
      </c>
      <c r="J23" s="1">
        <v>0.65299007902560102</v>
      </c>
      <c r="K23" s="1">
        <v>0.38126570798799297</v>
      </c>
    </row>
    <row r="24" spans="1:11" x14ac:dyDescent="0.25">
      <c r="A24" s="1" t="s">
        <v>4</v>
      </c>
      <c r="B24" s="1">
        <v>0.329989413913998</v>
      </c>
      <c r="C24" s="1">
        <v>12.7767499905314</v>
      </c>
      <c r="D24" s="1">
        <v>17.4736291430135</v>
      </c>
      <c r="E24" s="1">
        <v>15.137063526688999</v>
      </c>
      <c r="F24" s="1">
        <v>12.235548521154101</v>
      </c>
      <c r="G24" s="1">
        <v>11.327826851025099</v>
      </c>
      <c r="H24" s="1">
        <v>12.4200183963409</v>
      </c>
      <c r="I24" s="1">
        <v>13.8613502271466</v>
      </c>
      <c r="J24" s="1">
        <v>14.2685844156822</v>
      </c>
      <c r="K24" s="1">
        <v>11.732067277077</v>
      </c>
    </row>
    <row r="25" spans="1:11" x14ac:dyDescent="0.25">
      <c r="A25" s="1" t="s">
        <v>6</v>
      </c>
      <c r="B25" s="1">
        <f>AVERAGE(B20:B24)</f>
        <v>14.904327937096337</v>
      </c>
      <c r="C25" s="1">
        <f t="shared" ref="C25" si="12">AVERAGE(C20:C24)</f>
        <v>8.118526703227408</v>
      </c>
      <c r="D25" s="1">
        <f t="shared" ref="D25" si="13">AVERAGE(D20:D24)</f>
        <v>5.5236370971307363</v>
      </c>
      <c r="E25" s="1">
        <f t="shared" ref="E25" si="14">AVERAGE(E20:E24)</f>
        <v>5.9530107666229766</v>
      </c>
      <c r="F25" s="1">
        <f t="shared" ref="F25" si="15">AVERAGE(F20:F24)</f>
        <v>5.7923761287413784</v>
      </c>
      <c r="G25" s="1">
        <f t="shared" ref="G25" si="16">AVERAGE(G20:G24)</f>
        <v>5.2373660021384936</v>
      </c>
      <c r="H25" s="1">
        <f t="shared" ref="H25" si="17">AVERAGE(H20:H24)</f>
        <v>4.9596209219033582</v>
      </c>
      <c r="I25" s="1">
        <f t="shared" ref="I25" si="18">AVERAGE(I20:I24)</f>
        <v>5.0964683116540286</v>
      </c>
      <c r="J25" s="1">
        <f t="shared" ref="J25" si="19">AVERAGE(J20:J24)</f>
        <v>5.3275451826607805</v>
      </c>
      <c r="K25" s="1">
        <f t="shared" ref="K25" si="20">AVERAGE(K20:K24)</f>
        <v>5.1880967648340501</v>
      </c>
    </row>
    <row r="26" spans="1:11" x14ac:dyDescent="0.25">
      <c r="A26" s="1" t="s">
        <v>7</v>
      </c>
      <c r="B26" s="1">
        <f>STDEV(B20:B24)</f>
        <v>9.0747392943757035</v>
      </c>
      <c r="C26" s="1">
        <f t="shared" ref="C26:K26" si="21">STDEV(C20:C24)</f>
        <v>3.3563298244193631</v>
      </c>
      <c r="D26" s="1">
        <f t="shared" si="21"/>
        <v>6.7512829895612709</v>
      </c>
      <c r="E26" s="1">
        <f t="shared" si="21"/>
        <v>5.159219539173189</v>
      </c>
      <c r="F26" s="1">
        <f t="shared" si="21"/>
        <v>3.6123383231085979</v>
      </c>
      <c r="G26" s="1">
        <f t="shared" si="21"/>
        <v>3.5842727577569211</v>
      </c>
      <c r="H26" s="1">
        <f t="shared" si="21"/>
        <v>4.8871525789409143</v>
      </c>
      <c r="I26" s="1">
        <f t="shared" si="21"/>
        <v>5.9060932168475286</v>
      </c>
      <c r="J26" s="1">
        <f t="shared" si="21"/>
        <v>5.8036056429912364</v>
      </c>
      <c r="K26" s="1">
        <f t="shared" si="21"/>
        <v>4.1827502105714709</v>
      </c>
    </row>
    <row r="28" spans="1:11" x14ac:dyDescent="0.25">
      <c r="A28" s="1" t="s">
        <v>11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</row>
    <row r="29" spans="1:11" x14ac:dyDescent="0.25">
      <c r="A29" s="1" t="s">
        <v>0</v>
      </c>
      <c r="B29" s="1">
        <v>-0.80912920022490797</v>
      </c>
      <c r="C29" s="1">
        <v>-1.21133055602623</v>
      </c>
      <c r="D29" s="1">
        <v>-2.0305259725823501</v>
      </c>
      <c r="E29" s="1">
        <v>-3.7198181596127302</v>
      </c>
      <c r="F29" s="1">
        <v>-2.1135799335014802</v>
      </c>
      <c r="G29" s="1">
        <v>2.69093826765552</v>
      </c>
      <c r="H29" s="1">
        <v>2.0367857190222098</v>
      </c>
      <c r="I29" s="1">
        <v>1.7689038252812099</v>
      </c>
      <c r="J29" s="1">
        <v>1.5589978560840301</v>
      </c>
      <c r="K29" s="1">
        <v>1.2987933708736801</v>
      </c>
    </row>
    <row r="30" spans="1:11" x14ac:dyDescent="0.25">
      <c r="A30" s="1" t="s">
        <v>1</v>
      </c>
      <c r="B30" s="1">
        <v>-0.50359987061448797</v>
      </c>
      <c r="C30" s="1">
        <v>-0.80564481948206501</v>
      </c>
      <c r="D30" s="1">
        <v>-1.3467189293513</v>
      </c>
      <c r="E30" s="1">
        <v>-2.3179478659608299</v>
      </c>
      <c r="F30" s="1">
        <v>1.45846627132063</v>
      </c>
      <c r="G30" s="1">
        <v>1.78229618525072</v>
      </c>
      <c r="H30" s="1">
        <v>1.3589538505821701</v>
      </c>
      <c r="I30" s="1">
        <v>1.18132319136943</v>
      </c>
      <c r="J30" s="1">
        <v>1.0776853445352701</v>
      </c>
      <c r="K30" s="1">
        <v>1.02140731995667</v>
      </c>
    </row>
    <row r="31" spans="1:11" x14ac:dyDescent="0.25">
      <c r="A31" s="1" t="s">
        <v>2</v>
      </c>
      <c r="B31" s="1">
        <v>-0.82697833820278199</v>
      </c>
      <c r="C31" s="1">
        <v>-1.1611768218795699</v>
      </c>
      <c r="D31" s="1">
        <v>-2.0273997950995399</v>
      </c>
      <c r="E31" s="1">
        <v>-3.9541137795465899</v>
      </c>
      <c r="F31" s="1">
        <v>-0.85451483147888396</v>
      </c>
      <c r="G31" s="1">
        <v>2.7562399442891601</v>
      </c>
      <c r="H31" s="1">
        <v>2.0926273009309502</v>
      </c>
      <c r="I31" s="1">
        <v>1.8317289702983199</v>
      </c>
      <c r="J31" s="1">
        <v>1.6508593661984901</v>
      </c>
      <c r="K31" s="1">
        <v>1.35212444166915</v>
      </c>
    </row>
    <row r="32" spans="1:11" x14ac:dyDescent="0.25">
      <c r="A32" s="1" t="s">
        <v>3</v>
      </c>
      <c r="B32" s="1">
        <v>-0.74431847232071902</v>
      </c>
      <c r="C32" s="1">
        <v>-1.17894707659727</v>
      </c>
      <c r="D32" s="1">
        <v>-2.13195099452241</v>
      </c>
      <c r="E32" s="1">
        <v>-3.67819333912351</v>
      </c>
      <c r="F32" s="1">
        <v>-1.1518328308180401</v>
      </c>
      <c r="G32" s="1">
        <v>2.6586573939664699</v>
      </c>
      <c r="H32" s="1">
        <v>2.0358097358770699</v>
      </c>
      <c r="I32" s="1">
        <v>1.7418996357847301</v>
      </c>
      <c r="J32" s="1">
        <v>1.53373872348523</v>
      </c>
      <c r="K32" s="1">
        <v>1.25382592614411</v>
      </c>
    </row>
    <row r="33" spans="1:11" x14ac:dyDescent="0.25">
      <c r="A33" s="1" t="s">
        <v>4</v>
      </c>
      <c r="B33" s="1">
        <v>-0.58140677159810505</v>
      </c>
      <c r="C33" s="1">
        <v>-0.89526298511194902</v>
      </c>
      <c r="D33" s="1">
        <v>-1.54065212226695</v>
      </c>
      <c r="E33" s="1">
        <v>-2.7488346892085</v>
      </c>
      <c r="F33" s="1">
        <v>-5.4329169185049597E-2</v>
      </c>
      <c r="G33" s="1">
        <v>1.92762460060378</v>
      </c>
      <c r="H33" s="1">
        <v>1.4938095488879499</v>
      </c>
      <c r="I33" s="1">
        <v>1.34755834211579</v>
      </c>
      <c r="J33" s="1">
        <v>1.30491462469596</v>
      </c>
      <c r="K33" s="1">
        <v>1.1214898282303001</v>
      </c>
    </row>
    <row r="34" spans="1:11" x14ac:dyDescent="0.25">
      <c r="A34" s="1" t="s">
        <v>6</v>
      </c>
      <c r="B34" s="1">
        <f>AVERAGE(B29:B33)</f>
        <v>-0.69308653059220027</v>
      </c>
      <c r="C34" s="1">
        <f t="shared" ref="C34" si="22">AVERAGE(C29:C33)</f>
        <v>-1.0504724518194168</v>
      </c>
      <c r="D34" s="1">
        <f t="shared" ref="D34" si="23">AVERAGE(D29:D33)</f>
        <v>-1.8154495627645097</v>
      </c>
      <c r="E34" s="1">
        <f t="shared" ref="E34" si="24">AVERAGE(E29:E33)</f>
        <v>-3.2837815666904318</v>
      </c>
      <c r="F34" s="1">
        <f t="shared" ref="F34" si="25">AVERAGE(F29:F33)</f>
        <v>-0.54315809873256482</v>
      </c>
      <c r="G34" s="1">
        <f t="shared" ref="G34" si="26">AVERAGE(G29:G33)</f>
        <v>2.3631512783531301</v>
      </c>
      <c r="H34" s="1">
        <f t="shared" ref="H34" si="27">AVERAGE(H29:H33)</f>
        <v>1.8035972310600699</v>
      </c>
      <c r="I34" s="1">
        <f t="shared" ref="I34" si="28">AVERAGE(I29:I33)</f>
        <v>1.5742827929698959</v>
      </c>
      <c r="J34" s="1">
        <f t="shared" ref="J34" si="29">AVERAGE(J29:J33)</f>
        <v>1.4252391829997959</v>
      </c>
      <c r="K34" s="1">
        <f t="shared" ref="K34" si="30">AVERAGE(K29:K33)</f>
        <v>1.2095281773747819</v>
      </c>
    </row>
    <row r="35" spans="1:11" x14ac:dyDescent="0.25">
      <c r="A35" s="1" t="s">
        <v>7</v>
      </c>
      <c r="B35" s="1">
        <f>STDEV(B29:B33)</f>
        <v>0.14352281356327809</v>
      </c>
      <c r="C35" s="1">
        <f t="shared" ref="C35:K35" si="31">STDEV(C29:C33)</f>
        <v>0.18619013438066798</v>
      </c>
      <c r="D35" s="1">
        <f t="shared" si="31"/>
        <v>0.34877498453722577</v>
      </c>
      <c r="E35" s="1">
        <f t="shared" si="31"/>
        <v>0.70958380960011225</v>
      </c>
      <c r="F35" s="1">
        <f t="shared" si="31"/>
        <v>1.3396927376061061</v>
      </c>
      <c r="G35" s="1">
        <f t="shared" si="31"/>
        <v>0.4680713087293899</v>
      </c>
      <c r="H35" s="1">
        <f t="shared" si="31"/>
        <v>0.34839418889722151</v>
      </c>
      <c r="I35" s="1">
        <f t="shared" si="31"/>
        <v>0.29072001631262134</v>
      </c>
      <c r="J35" s="1">
        <f t="shared" si="31"/>
        <v>0.23229274092180391</v>
      </c>
      <c r="K35" s="1">
        <f t="shared" si="31"/>
        <v>0.13546629453755907</v>
      </c>
    </row>
    <row r="37" spans="1:11" x14ac:dyDescent="0.25">
      <c r="A37" s="1" t="s">
        <v>10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</row>
    <row r="38" spans="1:11" x14ac:dyDescent="0.25">
      <c r="A38" s="1" t="s">
        <v>0</v>
      </c>
      <c r="B38" s="1">
        <v>0.13545868098077199</v>
      </c>
      <c r="C38" s="1">
        <v>0.237675666629831</v>
      </c>
      <c r="D38" s="1">
        <v>0.34322752884951402</v>
      </c>
      <c r="E38" s="1">
        <v>0.43592066036623101</v>
      </c>
      <c r="F38" s="1">
        <v>0.51596244448895701</v>
      </c>
      <c r="G38" s="1">
        <v>0.60444156438555396</v>
      </c>
      <c r="H38" s="1">
        <v>0.69186136070791704</v>
      </c>
      <c r="I38" s="1">
        <v>0.75747598916435399</v>
      </c>
      <c r="J38" s="1">
        <v>0.81657491894504797</v>
      </c>
      <c r="K38" s="1">
        <v>0.88898716757581797</v>
      </c>
    </row>
    <row r="39" spans="1:11" x14ac:dyDescent="0.25">
      <c r="A39" s="1" t="s">
        <v>1</v>
      </c>
      <c r="B39" s="1">
        <v>9.7557818922650905E-2</v>
      </c>
      <c r="C39" s="1">
        <v>0.15980340214863401</v>
      </c>
      <c r="D39" s="1">
        <v>0.237650445943873</v>
      </c>
      <c r="E39" s="1">
        <v>0.32279004309062098</v>
      </c>
      <c r="F39" s="1">
        <v>0.416204225355013</v>
      </c>
      <c r="G39" s="1">
        <v>0.52668999377662395</v>
      </c>
      <c r="H39" s="1">
        <v>0.62455419231033804</v>
      </c>
      <c r="I39" s="1">
        <v>0.70855174018488698</v>
      </c>
      <c r="J39" s="1">
        <v>0.78683651233892205</v>
      </c>
      <c r="K39" s="1">
        <v>0.87720794015356596</v>
      </c>
    </row>
    <row r="40" spans="1:11" x14ac:dyDescent="0.25">
      <c r="A40" s="1" t="s">
        <v>2</v>
      </c>
      <c r="B40" s="1">
        <v>3.6859155045482997E-2</v>
      </c>
      <c r="C40" s="1">
        <v>7.2337587269384898E-2</v>
      </c>
      <c r="D40" s="1">
        <v>0.103011823470368</v>
      </c>
      <c r="E40" s="1">
        <v>0.150350847545281</v>
      </c>
      <c r="F40" s="1">
        <v>0.22410935003333701</v>
      </c>
      <c r="G40" s="1">
        <v>0.319840811421993</v>
      </c>
      <c r="H40" s="1">
        <v>0.41157133977654298</v>
      </c>
      <c r="I40" s="1">
        <v>0.494603705219617</v>
      </c>
      <c r="J40" s="1">
        <v>0.57314620175986797</v>
      </c>
      <c r="K40" s="1">
        <v>0.67482040411628696</v>
      </c>
    </row>
    <row r="41" spans="1:11" x14ac:dyDescent="0.25">
      <c r="A41" s="1" t="s">
        <v>3</v>
      </c>
      <c r="B41" s="1">
        <v>0.27754405820315697</v>
      </c>
      <c r="C41" s="1">
        <v>0.36988397083286201</v>
      </c>
      <c r="D41" s="1">
        <v>0.42397545939115</v>
      </c>
      <c r="E41" s="1">
        <v>0.47301351594917501</v>
      </c>
      <c r="F41" s="1">
        <v>0.51912369217437504</v>
      </c>
      <c r="G41" s="1">
        <v>0.55523138445244602</v>
      </c>
      <c r="H41" s="1">
        <v>0.59000703317547698</v>
      </c>
      <c r="I41" s="1">
        <v>0.62429576551803601</v>
      </c>
      <c r="J41" s="1">
        <v>0.65949887936382801</v>
      </c>
      <c r="K41" s="1">
        <v>0.72397743402004699</v>
      </c>
    </row>
    <row r="42" spans="1:11" x14ac:dyDescent="0.25">
      <c r="A42" s="1" t="s">
        <v>4</v>
      </c>
      <c r="B42" s="1">
        <v>0.17311096129760301</v>
      </c>
      <c r="C42" s="1">
        <v>0.278553918202461</v>
      </c>
      <c r="D42" s="1">
        <v>0.363500495019834</v>
      </c>
      <c r="E42" s="1">
        <v>0.44586359206257598</v>
      </c>
      <c r="F42" s="1">
        <v>0.52514335079785901</v>
      </c>
      <c r="G42" s="1">
        <v>0.592407351021908</v>
      </c>
      <c r="H42" s="1">
        <v>0.655610884347826</v>
      </c>
      <c r="I42" s="1">
        <v>0.71769632025580699</v>
      </c>
      <c r="J42" s="1">
        <v>0.78547131916969604</v>
      </c>
      <c r="K42" s="1">
        <v>0.87426991430178003</v>
      </c>
    </row>
    <row r="43" spans="1:11" x14ac:dyDescent="0.25">
      <c r="A43" s="1" t="s">
        <v>6</v>
      </c>
      <c r="B43" s="1">
        <f>AVERAGE(B38:B42)</f>
        <v>0.14410613488993315</v>
      </c>
      <c r="C43" s="1">
        <f t="shared" ref="C43:K43" si="32">AVERAGE(C38:C42)</f>
        <v>0.22365090901663459</v>
      </c>
      <c r="D43" s="1">
        <f t="shared" si="32"/>
        <v>0.29427315053494774</v>
      </c>
      <c r="E43" s="1">
        <f t="shared" si="32"/>
        <v>0.36558773180277682</v>
      </c>
      <c r="F43" s="1">
        <f t="shared" si="32"/>
        <v>0.44010861256990824</v>
      </c>
      <c r="G43" s="1">
        <f t="shared" si="32"/>
        <v>0.51972222101170495</v>
      </c>
      <c r="H43" s="1">
        <f t="shared" si="32"/>
        <v>0.59472096206362024</v>
      </c>
      <c r="I43" s="1">
        <f t="shared" si="32"/>
        <v>0.66052470406854025</v>
      </c>
      <c r="J43" s="1">
        <f t="shared" si="32"/>
        <v>0.72430556631547238</v>
      </c>
      <c r="K43" s="1">
        <f t="shared" si="32"/>
        <v>0.80785257203349958</v>
      </c>
    </row>
    <row r="44" spans="1:11" x14ac:dyDescent="0.25">
      <c r="A44" s="1" t="s">
        <v>7</v>
      </c>
      <c r="B44" s="1">
        <f>STDEV(B38:B42)</f>
        <v>8.9986663174803E-2</v>
      </c>
      <c r="C44" s="1">
        <f t="shared" ref="C44:K44" si="33">STDEV(C38:C42)</f>
        <v>0.11354224773554836</v>
      </c>
      <c r="D44" s="1">
        <f t="shared" si="33"/>
        <v>0.12629199421275369</v>
      </c>
      <c r="E44" s="1">
        <f t="shared" si="33"/>
        <v>0.13331334534116279</v>
      </c>
      <c r="F44" s="1">
        <f t="shared" si="33"/>
        <v>0.12889452516656963</v>
      </c>
      <c r="G44" s="1">
        <f t="shared" si="33"/>
        <v>0.11589059896237419</v>
      </c>
      <c r="H44" s="1">
        <f t="shared" si="33"/>
        <v>0.10908696826496361</v>
      </c>
      <c r="I44" s="1">
        <f t="shared" si="33"/>
        <v>0.10466261919237881</v>
      </c>
      <c r="J44" s="1">
        <f t="shared" si="33"/>
        <v>0.10393996119634967</v>
      </c>
      <c r="K44" s="1">
        <f t="shared" si="33"/>
        <v>0.10066882525439086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2025-04-13T12:55:28Z</dcterms:modified>
</cp:coreProperties>
</file>