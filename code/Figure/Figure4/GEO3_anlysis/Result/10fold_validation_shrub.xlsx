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han05\data\fluxdata\MM\Classification\PFT\shrub\"/>
    </mc:Choice>
  </mc:AlternateContent>
  <xr:revisionPtr revIDLastSave="0" documentId="13_ncr:1_{C549E81D-376C-4A28-A42E-AD31550487C1}" xr6:coauthVersionLast="47" xr6:coauthVersionMax="47" xr10:uidLastSave="{00000000-0000-0000-0000-000000000000}"/>
  <bookViews>
    <workbookView xWindow="12840" yWindow="3960" windowWidth="18810" windowHeight="127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4" i="1" l="1"/>
  <c r="J44" i="1"/>
  <c r="I44" i="1"/>
  <c r="H44" i="1"/>
  <c r="G44" i="1"/>
  <c r="F44" i="1"/>
  <c r="E44" i="1"/>
  <c r="D44" i="1"/>
  <c r="C44" i="1"/>
  <c r="B44" i="1"/>
  <c r="K43" i="1"/>
  <c r="J43" i="1"/>
  <c r="I43" i="1"/>
  <c r="H43" i="1"/>
  <c r="G43" i="1"/>
  <c r="F43" i="1"/>
  <c r="E43" i="1"/>
  <c r="D43" i="1"/>
  <c r="C43" i="1"/>
  <c r="B43" i="1"/>
  <c r="K35" i="1"/>
  <c r="J35" i="1"/>
  <c r="I35" i="1"/>
  <c r="H35" i="1"/>
  <c r="G35" i="1"/>
  <c r="F35" i="1"/>
  <c r="E35" i="1"/>
  <c r="D35" i="1"/>
  <c r="C35" i="1"/>
  <c r="B35" i="1"/>
  <c r="K34" i="1"/>
  <c r="J34" i="1"/>
  <c r="I34" i="1"/>
  <c r="H34" i="1"/>
  <c r="G34" i="1"/>
  <c r="F34" i="1"/>
  <c r="E34" i="1"/>
  <c r="D34" i="1"/>
  <c r="C34" i="1"/>
  <c r="B34" i="1"/>
  <c r="K26" i="1"/>
  <c r="J26" i="1"/>
  <c r="I26" i="1"/>
  <c r="H26" i="1"/>
  <c r="G26" i="1"/>
  <c r="F26" i="1"/>
  <c r="E26" i="1"/>
  <c r="D26" i="1"/>
  <c r="C26" i="1"/>
  <c r="B26" i="1"/>
  <c r="K25" i="1"/>
  <c r="J25" i="1"/>
  <c r="I25" i="1"/>
  <c r="H25" i="1"/>
  <c r="G25" i="1"/>
  <c r="F25" i="1"/>
  <c r="E25" i="1"/>
  <c r="D25" i="1"/>
  <c r="C25" i="1"/>
  <c r="B25" i="1"/>
  <c r="K17" i="1"/>
  <c r="J17" i="1"/>
  <c r="I17" i="1"/>
  <c r="H17" i="1"/>
  <c r="G17" i="1"/>
  <c r="F17" i="1"/>
  <c r="E17" i="1"/>
  <c r="D17" i="1"/>
  <c r="C17" i="1"/>
  <c r="B17" i="1"/>
  <c r="K16" i="1"/>
  <c r="J16" i="1"/>
  <c r="I16" i="1"/>
  <c r="H16" i="1"/>
  <c r="G16" i="1"/>
  <c r="F16" i="1"/>
  <c r="E16" i="1"/>
  <c r="D16" i="1"/>
  <c r="C16" i="1"/>
  <c r="B16" i="1"/>
  <c r="C8" i="1"/>
  <c r="D8" i="1"/>
  <c r="E8" i="1"/>
  <c r="F8" i="1"/>
  <c r="G8" i="1"/>
  <c r="H8" i="1"/>
  <c r="I8" i="1"/>
  <c r="J8" i="1"/>
  <c r="K8" i="1"/>
  <c r="B8" i="1"/>
  <c r="C7" i="1"/>
  <c r="D7" i="1"/>
  <c r="E7" i="1"/>
  <c r="F7" i="1"/>
  <c r="G7" i="1"/>
  <c r="H7" i="1"/>
  <c r="I7" i="1"/>
  <c r="J7" i="1"/>
  <c r="K7" i="1"/>
  <c r="B7" i="1"/>
</calcChain>
</file>

<file path=xl/sharedStrings.xml><?xml version="1.0" encoding="utf-8"?>
<sst xmlns="http://schemas.openxmlformats.org/spreadsheetml/2006/main" count="40" uniqueCount="12">
  <si>
    <t>fold1</t>
    <phoneticPr fontId="1" type="noConversion"/>
  </si>
  <si>
    <t>fold2</t>
    <phoneticPr fontId="1" type="noConversion"/>
  </si>
  <si>
    <t>fold3</t>
  </si>
  <si>
    <t>fold4</t>
  </si>
  <si>
    <t>fold5</t>
  </si>
  <si>
    <t>R2</t>
    <phoneticPr fontId="1" type="noConversion"/>
  </si>
  <si>
    <t>mean</t>
    <phoneticPr fontId="1" type="noConversion"/>
  </si>
  <si>
    <t>std</t>
    <phoneticPr fontId="1" type="noConversion"/>
  </si>
  <si>
    <t>RMSE</t>
    <phoneticPr fontId="1" type="noConversion"/>
  </si>
  <si>
    <t>bias</t>
    <phoneticPr fontId="1" type="noConversion"/>
  </si>
  <si>
    <t>SIM</t>
    <phoneticPr fontId="1" type="noConversion"/>
  </si>
  <si>
    <t>SLOPE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</si>
</sst>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1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topLeftCell="A28" workbookViewId="0">
      <selection activeCell="B38" sqref="B38:K42"/>
    </sheetView>
  </sheetViews>
  <sheetFormatPr defaultRowHeight="15.75" x14ac:dyDescent="0.25"/>
  <cols>
    <col min="1" max="11" width="9" style="1"/>
  </cols>
  <sheetData>
    <row r="1" spans="1:11" x14ac:dyDescent="0.25">
      <c r="A1" s="1" t="s">
        <v>5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s="1" t="s">
        <v>0</v>
      </c>
      <c r="B2" s="1">
        <v>0.21792216425827399</v>
      </c>
      <c r="C2" s="1">
        <v>0.188866578333618</v>
      </c>
      <c r="D2" s="1">
        <v>0.29312378195014199</v>
      </c>
      <c r="E2" s="1">
        <v>0.19032186128060499</v>
      </c>
      <c r="F2" s="1">
        <v>5.9568526717561597E-2</v>
      </c>
      <c r="G2" s="2">
        <v>5.8485690198290104E-6</v>
      </c>
      <c r="H2" s="1">
        <v>0.163670091066316</v>
      </c>
      <c r="I2" s="1">
        <v>0.21628642567401599</v>
      </c>
      <c r="J2" s="1">
        <v>0.27586079322503199</v>
      </c>
      <c r="K2" s="1">
        <v>0.35123133398005302</v>
      </c>
    </row>
    <row r="3" spans="1:11" x14ac:dyDescent="0.25">
      <c r="A3" s="1" t="s">
        <v>1</v>
      </c>
      <c r="B3" s="1">
        <v>0.173828511289805</v>
      </c>
      <c r="C3" s="1">
        <v>0.16006975729498099</v>
      </c>
      <c r="D3" s="1">
        <v>0.20491906564345</v>
      </c>
      <c r="E3" s="1">
        <v>6.0745721169057597E-2</v>
      </c>
      <c r="F3" s="1">
        <v>1.47881358491635E-3</v>
      </c>
      <c r="G3" s="1">
        <v>5.8866206693893502E-2</v>
      </c>
      <c r="H3" s="1">
        <v>0.124876297709729</v>
      </c>
      <c r="I3" s="1">
        <v>0.163747032260393</v>
      </c>
      <c r="J3" s="1">
        <v>0.21700068251847801</v>
      </c>
      <c r="K3" s="1">
        <v>0.337845457364293</v>
      </c>
    </row>
    <row r="4" spans="1:11" x14ac:dyDescent="0.25">
      <c r="A4" s="1" t="s">
        <v>2</v>
      </c>
      <c r="B4" s="1">
        <v>0.22975566444372</v>
      </c>
      <c r="C4" s="1">
        <v>0.144593000166576</v>
      </c>
      <c r="D4" s="1">
        <v>0.17066558881024399</v>
      </c>
      <c r="E4" s="2">
        <v>3.40282458009717E-6</v>
      </c>
      <c r="F4" s="2">
        <v>7.8703153003181106E-2</v>
      </c>
      <c r="G4" s="1">
        <v>8.2167648492264503E-2</v>
      </c>
      <c r="H4" s="1">
        <v>7.3894405635671595E-2</v>
      </c>
      <c r="I4" s="1">
        <v>0.179552052366826</v>
      </c>
      <c r="J4" s="1">
        <v>0.21061542875911499</v>
      </c>
      <c r="K4" s="1">
        <v>0.2274986739431</v>
      </c>
    </row>
    <row r="5" spans="1:11" x14ac:dyDescent="0.25">
      <c r="A5" s="1" t="s">
        <v>3</v>
      </c>
      <c r="B5" s="1">
        <v>0.20668749918556401</v>
      </c>
      <c r="C5" s="1">
        <v>0.20229105396341401</v>
      </c>
      <c r="D5" s="1">
        <v>8.1609615490303003E-2</v>
      </c>
      <c r="E5" s="2">
        <v>1.2667773236170801E-5</v>
      </c>
      <c r="F5" s="1">
        <v>5.0212227568301702E-2</v>
      </c>
      <c r="G5" s="1">
        <v>7.8718613077797497E-2</v>
      </c>
      <c r="H5" s="1">
        <v>4.21613449442804E-2</v>
      </c>
      <c r="I5" s="1">
        <v>7.4829739187976196E-2</v>
      </c>
      <c r="J5" s="1">
        <v>0.183371597850264</v>
      </c>
      <c r="K5" s="1">
        <v>0.26782073373455501</v>
      </c>
    </row>
    <row r="6" spans="1:11" x14ac:dyDescent="0.25">
      <c r="A6" s="1" t="s">
        <v>4</v>
      </c>
      <c r="B6" s="1">
        <v>0.22532444138784499</v>
      </c>
      <c r="C6" s="1">
        <v>0.16407691347918599</v>
      </c>
      <c r="D6" s="1">
        <v>0.118975794527322</v>
      </c>
      <c r="E6" s="1">
        <v>2.9511528148415699E-3</v>
      </c>
      <c r="F6" s="1">
        <v>1.78084276600995E-4</v>
      </c>
      <c r="G6" s="1">
        <v>1.79058791122154E-3</v>
      </c>
      <c r="H6" s="1">
        <v>5.0854942023071899E-2</v>
      </c>
      <c r="I6" s="1">
        <v>0.12814592309412701</v>
      </c>
      <c r="J6" s="1">
        <v>0.20318035770225201</v>
      </c>
      <c r="K6" s="1">
        <v>0.35144098569617499</v>
      </c>
    </row>
    <row r="7" spans="1:11" x14ac:dyDescent="0.25">
      <c r="A7" s="1" t="s">
        <v>6</v>
      </c>
      <c r="B7" s="1">
        <f>AVERAGE(B2:B6)</f>
        <v>0.21070365611304159</v>
      </c>
      <c r="C7" s="1">
        <f t="shared" ref="C7:K7" si="0">AVERAGE(C2:C6)</f>
        <v>0.17197946064755501</v>
      </c>
      <c r="D7" s="1">
        <f t="shared" si="0"/>
        <v>0.17385876928429217</v>
      </c>
      <c r="E7" s="1">
        <f t="shared" si="0"/>
        <v>5.0806961172464096E-2</v>
      </c>
      <c r="F7" s="1">
        <f t="shared" si="0"/>
        <v>3.8028161030112348E-2</v>
      </c>
      <c r="G7" s="1">
        <f t="shared" si="0"/>
        <v>4.4309780948839375E-2</v>
      </c>
      <c r="H7" s="1">
        <f t="shared" si="0"/>
        <v>9.1091416275813783E-2</v>
      </c>
      <c r="I7" s="1">
        <f t="shared" si="0"/>
        <v>0.15251223451666765</v>
      </c>
      <c r="J7" s="1">
        <f t="shared" si="0"/>
        <v>0.21800577201102822</v>
      </c>
      <c r="K7" s="1">
        <f t="shared" si="0"/>
        <v>0.30716743694363524</v>
      </c>
    </row>
    <row r="8" spans="1:11" x14ac:dyDescent="0.25">
      <c r="A8" s="1" t="s">
        <v>7</v>
      </c>
      <c r="B8" s="1">
        <f>STDEV(B2:B6)</f>
        <v>2.2387267952609428E-2</v>
      </c>
      <c r="C8" s="1">
        <f t="shared" ref="C8:K8" si="1">STDEV(C2:C6)</f>
        <v>2.3228629621976117E-2</v>
      </c>
      <c r="D8" s="1">
        <f t="shared" si="1"/>
        <v>8.1732993569802029E-2</v>
      </c>
      <c r="E8" s="1">
        <f t="shared" si="1"/>
        <v>8.2180329883052933E-2</v>
      </c>
      <c r="F8" s="1">
        <f t="shared" si="1"/>
        <v>3.5480194870806545E-2</v>
      </c>
      <c r="G8" s="1">
        <f t="shared" si="1"/>
        <v>4.0619563004700862E-2</v>
      </c>
      <c r="H8" s="1">
        <f t="shared" si="1"/>
        <v>5.1763754605918165E-2</v>
      </c>
      <c r="I8" s="1">
        <f t="shared" si="1"/>
        <v>5.3741992660113029E-2</v>
      </c>
      <c r="J8" s="1">
        <f t="shared" si="1"/>
        <v>3.4720850317809443E-2</v>
      </c>
      <c r="K8" s="1">
        <f t="shared" si="1"/>
        <v>5.6431794959864161E-2</v>
      </c>
    </row>
    <row r="10" spans="1:11" x14ac:dyDescent="0.25">
      <c r="A10" s="1" t="s">
        <v>8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</row>
    <row r="11" spans="1:11" x14ac:dyDescent="0.25">
      <c r="A11" s="1" t="s">
        <v>0</v>
      </c>
      <c r="B11" s="1">
        <v>32.6814852080444</v>
      </c>
      <c r="C11" s="1">
        <v>27.855129026842899</v>
      </c>
      <c r="D11" s="1">
        <v>25.988244519039799</v>
      </c>
      <c r="E11" s="1">
        <v>24.792307228470801</v>
      </c>
      <c r="F11" s="1">
        <v>23.412263994490001</v>
      </c>
      <c r="G11" s="1">
        <v>22.3025498360104</v>
      </c>
      <c r="H11" s="1">
        <v>20.723394874343501</v>
      </c>
      <c r="I11" s="1">
        <v>20.068535629513999</v>
      </c>
      <c r="J11" s="1">
        <v>19.314139955601899</v>
      </c>
      <c r="K11" s="1">
        <v>18.027110273998801</v>
      </c>
    </row>
    <row r="12" spans="1:11" x14ac:dyDescent="0.25">
      <c r="A12" s="1" t="s">
        <v>1</v>
      </c>
      <c r="B12" s="1">
        <v>46.248551611088899</v>
      </c>
      <c r="C12" s="1">
        <v>40.429385416431401</v>
      </c>
      <c r="D12" s="1">
        <v>37.497922652204998</v>
      </c>
      <c r="E12" s="1">
        <v>36.297353945358303</v>
      </c>
      <c r="F12" s="1">
        <v>35.574219550018697</v>
      </c>
      <c r="G12" s="1">
        <v>34.574126499586001</v>
      </c>
      <c r="H12" s="1">
        <v>34.151972805518497</v>
      </c>
      <c r="I12" s="1">
        <v>33.539096669446501</v>
      </c>
      <c r="J12" s="1">
        <v>32.677261084815903</v>
      </c>
      <c r="K12" s="1">
        <v>30.395833830887302</v>
      </c>
    </row>
    <row r="13" spans="1:11" x14ac:dyDescent="0.25">
      <c r="A13" s="1" t="s">
        <v>2</v>
      </c>
      <c r="B13" s="1">
        <v>41.994805945304499</v>
      </c>
      <c r="C13" s="1">
        <v>38.405455484037702</v>
      </c>
      <c r="D13" s="1">
        <v>37.001358137250698</v>
      </c>
      <c r="E13" s="1">
        <v>36.072509314854898</v>
      </c>
      <c r="F13" s="1">
        <v>35.799747488717898</v>
      </c>
      <c r="G13" s="1">
        <v>35.584485469145697</v>
      </c>
      <c r="H13" s="1">
        <v>35.467215081104598</v>
      </c>
      <c r="I13" s="1">
        <v>34.077518221871003</v>
      </c>
      <c r="J13" s="1">
        <v>32.594737545700902</v>
      </c>
      <c r="K13" s="1">
        <v>30.382333194678299</v>
      </c>
    </row>
    <row r="14" spans="1:11" x14ac:dyDescent="0.25">
      <c r="A14" s="1" t="s">
        <v>3</v>
      </c>
      <c r="B14" s="1">
        <v>44.439013235690098</v>
      </c>
      <c r="C14" s="1">
        <v>37.1933216755953</v>
      </c>
      <c r="D14" s="1">
        <v>34.1696170178069</v>
      </c>
      <c r="E14" s="1">
        <v>33.066984708526903</v>
      </c>
      <c r="F14" s="1">
        <v>32.200906465069501</v>
      </c>
      <c r="G14" s="1">
        <v>31.998827307102601</v>
      </c>
      <c r="H14" s="1">
        <v>32.349166625730597</v>
      </c>
      <c r="I14" s="1">
        <v>32.153564831136201</v>
      </c>
      <c r="J14" s="1">
        <v>31.161730400121399</v>
      </c>
      <c r="K14" s="1">
        <v>29.665117979440499</v>
      </c>
    </row>
    <row r="15" spans="1:11" x14ac:dyDescent="0.25">
      <c r="A15" s="1" t="s">
        <v>4</v>
      </c>
      <c r="B15" s="1">
        <v>35.172444994792897</v>
      </c>
      <c r="C15" s="1">
        <v>28.0251450632095</v>
      </c>
      <c r="D15" s="1">
        <v>22.9313103328304</v>
      </c>
      <c r="E15" s="1">
        <v>21.5395284730375</v>
      </c>
      <c r="F15" s="1">
        <v>21.824599628285601</v>
      </c>
      <c r="G15" s="1">
        <v>22.084181769963202</v>
      </c>
      <c r="H15" s="1">
        <v>21.934965951063401</v>
      </c>
      <c r="I15" s="1">
        <v>21.428505972181402</v>
      </c>
      <c r="J15" s="1">
        <v>20.307042226074199</v>
      </c>
      <c r="K15" s="1">
        <v>18.1052856652481</v>
      </c>
    </row>
    <row r="16" spans="1:11" x14ac:dyDescent="0.25">
      <c r="A16" s="1" t="s">
        <v>6</v>
      </c>
      <c r="B16" s="1">
        <f>AVERAGE(B11:B15)</f>
        <v>40.107260198984157</v>
      </c>
      <c r="C16" s="1">
        <f t="shared" ref="C16" si="2">AVERAGE(C11:C15)</f>
        <v>34.381687333223361</v>
      </c>
      <c r="D16" s="1">
        <f t="shared" ref="D16" si="3">AVERAGE(D11:D15)</f>
        <v>31.51769053182656</v>
      </c>
      <c r="E16" s="1">
        <f t="shared" ref="E16" si="4">AVERAGE(E11:E15)</f>
        <v>30.353736734049683</v>
      </c>
      <c r="F16" s="1">
        <f t="shared" ref="F16" si="5">AVERAGE(F11:F15)</f>
        <v>29.762347425316342</v>
      </c>
      <c r="G16" s="1">
        <f t="shared" ref="G16" si="6">AVERAGE(G11:G15)</f>
        <v>29.308834176361579</v>
      </c>
      <c r="H16" s="1">
        <f t="shared" ref="H16" si="7">AVERAGE(H11:H15)</f>
        <v>28.925343067552113</v>
      </c>
      <c r="I16" s="1">
        <f t="shared" ref="I16" si="8">AVERAGE(I11:I15)</f>
        <v>28.253444264829817</v>
      </c>
      <c r="J16" s="1">
        <f t="shared" ref="J16" si="9">AVERAGE(J11:J15)</f>
        <v>27.210982242462858</v>
      </c>
      <c r="K16" s="1">
        <f t="shared" ref="K16" si="10">AVERAGE(K11:K15)</f>
        <v>25.315136188850598</v>
      </c>
    </row>
    <row r="17" spans="1:11" x14ac:dyDescent="0.25">
      <c r="A17" s="1" t="s">
        <v>7</v>
      </c>
      <c r="B17" s="1">
        <f>STDEV(B11:B15)</f>
        <v>5.9062870917234918</v>
      </c>
      <c r="C17" s="1">
        <f t="shared" ref="C17:K17" si="11">STDEV(C11:C15)</f>
        <v>5.9931678365745853</v>
      </c>
      <c r="D17" s="1">
        <f t="shared" si="11"/>
        <v>6.6552084647564689</v>
      </c>
      <c r="E17" s="1">
        <f t="shared" si="11"/>
        <v>6.7825589818769032</v>
      </c>
      <c r="F17" s="1">
        <f t="shared" si="11"/>
        <v>6.6989929649451181</v>
      </c>
      <c r="G17" s="1">
        <f t="shared" si="11"/>
        <v>6.6262128718482645</v>
      </c>
      <c r="H17" s="1">
        <f t="shared" si="11"/>
        <v>7.0351553289860354</v>
      </c>
      <c r="I17" s="1">
        <f t="shared" si="11"/>
        <v>6.9036477911711263</v>
      </c>
      <c r="J17" s="1">
        <f t="shared" si="11"/>
        <v>6.791500982960085</v>
      </c>
      <c r="K17" s="1">
        <f t="shared" si="11"/>
        <v>6.6240014702665473</v>
      </c>
    </row>
    <row r="19" spans="1:11" x14ac:dyDescent="0.25">
      <c r="A19" s="1" t="s">
        <v>9</v>
      </c>
      <c r="B19" s="1">
        <v>1</v>
      </c>
      <c r="C19" s="1">
        <v>2</v>
      </c>
      <c r="D19" s="1">
        <v>3</v>
      </c>
      <c r="E19" s="1">
        <v>4</v>
      </c>
      <c r="F19" s="1">
        <v>5</v>
      </c>
      <c r="G19" s="1">
        <v>6</v>
      </c>
      <c r="H19" s="1">
        <v>7</v>
      </c>
      <c r="I19" s="1">
        <v>8</v>
      </c>
      <c r="J19" s="1">
        <v>9</v>
      </c>
      <c r="K19" s="1">
        <v>10</v>
      </c>
    </row>
    <row r="20" spans="1:11" x14ac:dyDescent="0.25">
      <c r="A20" s="1" t="s">
        <v>0</v>
      </c>
      <c r="B20" s="1">
        <v>10.906365772870201</v>
      </c>
      <c r="C20" s="1">
        <v>7.9334930414662699</v>
      </c>
      <c r="D20" s="1">
        <v>6.3031709466864196</v>
      </c>
      <c r="E20" s="1">
        <v>4.2175954777150304</v>
      </c>
      <c r="F20" s="1">
        <v>2.7424062660572499</v>
      </c>
      <c r="G20" s="1">
        <v>1.86837243591087</v>
      </c>
      <c r="H20" s="1">
        <v>1.97672968656494</v>
      </c>
      <c r="I20" s="1">
        <v>2.92257026950496</v>
      </c>
      <c r="J20" s="1">
        <v>3.33672303766873</v>
      </c>
      <c r="K20" s="1">
        <v>3.4542010313129201</v>
      </c>
    </row>
    <row r="21" spans="1:11" x14ac:dyDescent="0.25">
      <c r="A21" s="1" t="s">
        <v>1</v>
      </c>
      <c r="B21" s="1">
        <v>14.0647387150848</v>
      </c>
      <c r="C21" s="1">
        <v>7.20243271385905</v>
      </c>
      <c r="D21" s="1">
        <v>2.8924297845188698</v>
      </c>
      <c r="E21" s="1">
        <v>0.29442950529476403</v>
      </c>
      <c r="F21" s="1">
        <v>1.77056364177849</v>
      </c>
      <c r="G21" s="1">
        <v>2.78696736098372</v>
      </c>
      <c r="H21" s="1">
        <v>3.5851787662944798</v>
      </c>
      <c r="I21" s="1">
        <v>2.9545237063870902</v>
      </c>
      <c r="J21" s="1">
        <v>1.3147735075267999</v>
      </c>
      <c r="K21" s="1">
        <v>1.0920297136513699</v>
      </c>
    </row>
    <row r="22" spans="1:11" x14ac:dyDescent="0.25">
      <c r="A22" s="1" t="s">
        <v>2</v>
      </c>
      <c r="B22" s="1">
        <v>2.4704749074015799</v>
      </c>
      <c r="C22" s="1">
        <v>11.895519501965801</v>
      </c>
      <c r="D22" s="1">
        <v>14.4216950831664</v>
      </c>
      <c r="E22" s="1">
        <v>16.014376048045701</v>
      </c>
      <c r="F22" s="1">
        <v>17.278576940037201</v>
      </c>
      <c r="G22" s="1">
        <v>17.097929998756499</v>
      </c>
      <c r="H22" s="1">
        <v>16.793808613418399</v>
      </c>
      <c r="I22" s="1">
        <v>15.343921407567001</v>
      </c>
      <c r="J22" s="1">
        <v>13.310676764239799</v>
      </c>
      <c r="K22" s="1">
        <v>8.9856189588075193</v>
      </c>
    </row>
    <row r="23" spans="1:11" x14ac:dyDescent="0.25">
      <c r="A23" s="1" t="s">
        <v>3</v>
      </c>
      <c r="B23" s="1">
        <v>19.880970827561399</v>
      </c>
      <c r="C23" s="1">
        <v>10.3237415605475</v>
      </c>
      <c r="D23" s="1">
        <v>5.17962928799379</v>
      </c>
      <c r="E23" s="1">
        <v>3.0834186870916001</v>
      </c>
      <c r="F23" s="1">
        <v>0.99338860661277395</v>
      </c>
      <c r="G23" s="1">
        <v>1.0652426428958</v>
      </c>
      <c r="H23" s="1">
        <v>1.64489349417772</v>
      </c>
      <c r="I23" s="1">
        <v>1.55752351454659</v>
      </c>
      <c r="J23" s="1">
        <v>0.32994212894395802</v>
      </c>
      <c r="K23" s="1">
        <v>3.2727898249948</v>
      </c>
    </row>
    <row r="24" spans="1:11" x14ac:dyDescent="0.25">
      <c r="A24" s="1" t="s">
        <v>4</v>
      </c>
      <c r="B24" s="1">
        <v>20.731556406317999</v>
      </c>
      <c r="C24" s="1">
        <v>8.9184815594723705</v>
      </c>
      <c r="D24" s="1">
        <v>0.998114105752547</v>
      </c>
      <c r="E24" s="1">
        <v>3.48621463711887</v>
      </c>
      <c r="F24" s="1">
        <v>5.8012797817116599</v>
      </c>
      <c r="G24" s="1">
        <v>7.2805709985965201</v>
      </c>
      <c r="H24" s="1">
        <v>8.7086680421177203</v>
      </c>
      <c r="I24" s="1">
        <v>8.8662595328200808</v>
      </c>
      <c r="J24" s="1">
        <v>7.9958192379253896</v>
      </c>
      <c r="K24" s="1">
        <v>7.1074648586451801</v>
      </c>
    </row>
    <row r="25" spans="1:11" x14ac:dyDescent="0.25">
      <c r="A25" s="1" t="s">
        <v>6</v>
      </c>
      <c r="B25" s="1">
        <f>AVERAGE(B20:B24)</f>
        <v>13.610821325847194</v>
      </c>
      <c r="C25" s="1">
        <f t="shared" ref="C25" si="12">AVERAGE(C20:C24)</f>
        <v>9.2547336754621981</v>
      </c>
      <c r="D25" s="1">
        <f t="shared" ref="D25" si="13">AVERAGE(D20:D24)</f>
        <v>5.9590078416236043</v>
      </c>
      <c r="E25" s="1">
        <f t="shared" ref="E25" si="14">AVERAGE(E20:E24)</f>
        <v>5.4192068710531931</v>
      </c>
      <c r="F25" s="1">
        <f t="shared" ref="F25" si="15">AVERAGE(F20:F24)</f>
        <v>5.7172430472394753</v>
      </c>
      <c r="G25" s="1">
        <f t="shared" ref="G25" si="16">AVERAGE(G20:G24)</f>
        <v>6.0198166874286816</v>
      </c>
      <c r="H25" s="1">
        <f t="shared" ref="H25" si="17">AVERAGE(H20:H24)</f>
        <v>6.5418557205146515</v>
      </c>
      <c r="I25" s="1">
        <f t="shared" ref="I25" si="18">AVERAGE(I20:I24)</f>
        <v>6.3289596861651445</v>
      </c>
      <c r="J25" s="1">
        <f t="shared" ref="J25" si="19">AVERAGE(J20:J24)</f>
        <v>5.2575869352609352</v>
      </c>
      <c r="K25" s="1">
        <f t="shared" ref="K25" si="20">AVERAGE(K20:K24)</f>
        <v>4.7824208774823571</v>
      </c>
    </row>
    <row r="26" spans="1:11" x14ac:dyDescent="0.25">
      <c r="A26" s="1" t="s">
        <v>7</v>
      </c>
      <c r="B26" s="1">
        <f>STDEV(B20:B24)</f>
        <v>7.4439082815640081</v>
      </c>
      <c r="C26" s="1">
        <f t="shared" ref="C26:K26" si="21">STDEV(C20:C24)</f>
        <v>1.8832955938502896</v>
      </c>
      <c r="D26" s="1">
        <f t="shared" si="21"/>
        <v>5.1564843197627583</v>
      </c>
      <c r="E26" s="1">
        <f t="shared" si="21"/>
        <v>6.1064963009705293</v>
      </c>
      <c r="F26" s="1">
        <f t="shared" si="21"/>
        <v>6.7158811137088934</v>
      </c>
      <c r="G26" s="1">
        <f t="shared" si="21"/>
        <v>6.6435627504273205</v>
      </c>
      <c r="H26" s="1">
        <f t="shared" si="21"/>
        <v>6.3906213923021857</v>
      </c>
      <c r="I26" s="1">
        <f t="shared" si="21"/>
        <v>5.7763382763122735</v>
      </c>
      <c r="J26" s="1">
        <f t="shared" si="21"/>
        <v>5.3820848914053352</v>
      </c>
      <c r="K26" s="1">
        <f t="shared" si="21"/>
        <v>3.1911927410324137</v>
      </c>
    </row>
    <row r="28" spans="1:11" x14ac:dyDescent="0.25">
      <c r="A28" s="1" t="s">
        <v>11</v>
      </c>
      <c r="B28" s="1">
        <v>1</v>
      </c>
      <c r="C28" s="1">
        <v>2</v>
      </c>
      <c r="D28" s="1">
        <v>3</v>
      </c>
      <c r="E28" s="1">
        <v>4</v>
      </c>
      <c r="F28" s="1">
        <v>5</v>
      </c>
      <c r="G28" s="1">
        <v>6</v>
      </c>
      <c r="H28" s="1">
        <v>7</v>
      </c>
      <c r="I28" s="1">
        <v>8</v>
      </c>
      <c r="J28" s="1">
        <v>9</v>
      </c>
      <c r="K28" s="1">
        <v>10</v>
      </c>
    </row>
    <row r="29" spans="1:11" x14ac:dyDescent="0.25">
      <c r="A29" s="1" t="s">
        <v>0</v>
      </c>
      <c r="B29" s="1">
        <v>-0.75074372363810304</v>
      </c>
      <c r="C29" s="1">
        <v>-1.1380802519135</v>
      </c>
      <c r="D29" s="1">
        <v>-2.2558014456475299</v>
      </c>
      <c r="E29" s="1">
        <v>-2.0056845536980199</v>
      </c>
      <c r="F29" s="1">
        <v>-1.3538929222012099</v>
      </c>
      <c r="G29" s="1">
        <v>-1.59576264284726E-2</v>
      </c>
      <c r="H29" s="1">
        <v>2.1200491851234502</v>
      </c>
      <c r="I29" s="1">
        <v>1.6462189757797701</v>
      </c>
      <c r="J29" s="1">
        <v>1.4424113255205699</v>
      </c>
      <c r="K29" s="1">
        <v>0.98717106723734105</v>
      </c>
    </row>
    <row r="30" spans="1:11" x14ac:dyDescent="0.25">
      <c r="A30" s="1" t="s">
        <v>1</v>
      </c>
      <c r="B30" s="1">
        <v>-0.94254230319340104</v>
      </c>
      <c r="C30" s="1">
        <v>-1.5389575617007401</v>
      </c>
      <c r="D30" s="1">
        <v>-3.6785664563237601</v>
      </c>
      <c r="E30" s="1">
        <v>-2.3783486252038699</v>
      </c>
      <c r="F30" s="1">
        <v>-0.38758830087775598</v>
      </c>
      <c r="G30" s="1">
        <v>2.0937032003509102</v>
      </c>
      <c r="H30" s="1">
        <v>2.9513603727616702</v>
      </c>
      <c r="I30" s="1">
        <v>2.6453624030419798</v>
      </c>
      <c r="J30" s="1">
        <v>2.45557298722564</v>
      </c>
      <c r="K30" s="1">
        <v>1.9657590796428599</v>
      </c>
    </row>
    <row r="31" spans="1:11" x14ac:dyDescent="0.25">
      <c r="A31" s="1" t="s">
        <v>2</v>
      </c>
      <c r="B31" s="1">
        <v>-0.99328690680447196</v>
      </c>
      <c r="C31" s="1">
        <v>-1.3762944569895199</v>
      </c>
      <c r="D31" s="1">
        <v>-3.27411913098156</v>
      </c>
      <c r="E31" s="1">
        <v>-2.1155252591596899E-2</v>
      </c>
      <c r="F31" s="1">
        <v>2.4207962726532601</v>
      </c>
      <c r="G31" s="1">
        <v>2.05928333818242</v>
      </c>
      <c r="H31" s="1">
        <v>1.8386576654658899</v>
      </c>
      <c r="I31" s="1">
        <v>2.7511609822338898</v>
      </c>
      <c r="J31" s="1">
        <v>2.2421832977887202</v>
      </c>
      <c r="K31" s="1">
        <v>1.7242911896747299</v>
      </c>
    </row>
    <row r="32" spans="1:11" x14ac:dyDescent="0.25">
      <c r="A32" s="1" t="s">
        <v>3</v>
      </c>
      <c r="B32" s="1">
        <v>-1.23513333523891</v>
      </c>
      <c r="C32" s="1">
        <v>-2.56675721614873</v>
      </c>
      <c r="D32" s="1">
        <v>-3.0745126656461901</v>
      </c>
      <c r="E32" s="1">
        <v>3.6448026994340403E-2</v>
      </c>
      <c r="F32" s="1">
        <v>2.1504963321916701</v>
      </c>
      <c r="G32" s="1">
        <v>2.6606015468445698</v>
      </c>
      <c r="H32" s="1">
        <v>2.3177145007318001</v>
      </c>
      <c r="I32" s="1">
        <v>3.1455181286113598</v>
      </c>
      <c r="J32" s="1">
        <v>3.2159860787547601</v>
      </c>
      <c r="K32" s="1">
        <v>2.1547272138291498</v>
      </c>
    </row>
    <row r="33" spans="1:11" x14ac:dyDescent="0.25">
      <c r="A33" s="1" t="s">
        <v>4</v>
      </c>
      <c r="B33" s="1">
        <v>-0.81606676613560503</v>
      </c>
      <c r="C33" s="1">
        <v>-0.81196071771965395</v>
      </c>
      <c r="D33" s="1">
        <v>-1.4075611194335</v>
      </c>
      <c r="E33" s="1">
        <v>-0.282028133314975</v>
      </c>
      <c r="F33" s="1">
        <v>-7.4758821422807598E-2</v>
      </c>
      <c r="G33" s="1">
        <v>0.231231531296752</v>
      </c>
      <c r="H33" s="1">
        <v>1.0042055040310101</v>
      </c>
      <c r="I33" s="1">
        <v>1.63622618621558</v>
      </c>
      <c r="J33" s="1">
        <v>1.44338451320557</v>
      </c>
      <c r="K33" s="1">
        <v>1.04992533585503</v>
      </c>
    </row>
    <row r="34" spans="1:11" x14ac:dyDescent="0.25">
      <c r="A34" s="1" t="s">
        <v>6</v>
      </c>
      <c r="B34" s="1">
        <f>AVERAGE(B29:B33)</f>
        <v>-0.94755460700209826</v>
      </c>
      <c r="C34" s="1">
        <f t="shared" ref="C34" si="22">AVERAGE(C29:C33)</f>
        <v>-1.486410040894429</v>
      </c>
      <c r="D34" s="1">
        <f t="shared" ref="D34" si="23">AVERAGE(D29:D33)</f>
        <v>-2.7381121636065084</v>
      </c>
      <c r="E34" s="1">
        <f t="shared" ref="E34" si="24">AVERAGE(E29:E33)</f>
        <v>-0.93015370756282434</v>
      </c>
      <c r="F34" s="1">
        <f t="shared" ref="F34" si="25">AVERAGE(F29:F33)</f>
        <v>0.55101051206863139</v>
      </c>
      <c r="G34" s="1">
        <f t="shared" ref="G34" si="26">AVERAGE(G29:G33)</f>
        <v>1.4057723980492358</v>
      </c>
      <c r="H34" s="1">
        <f t="shared" ref="H34" si="27">AVERAGE(H29:H33)</f>
        <v>2.0463974456227638</v>
      </c>
      <c r="I34" s="1">
        <f t="shared" ref="I34" si="28">AVERAGE(I29:I33)</f>
        <v>2.3648973351765159</v>
      </c>
      <c r="J34" s="1">
        <f t="shared" ref="J34" si="29">AVERAGE(J29:J33)</f>
        <v>2.1599076404990525</v>
      </c>
      <c r="K34" s="1">
        <f t="shared" ref="K34" si="30">AVERAGE(K29:K33)</f>
        <v>1.576374777247822</v>
      </c>
    </row>
    <row r="35" spans="1:11" x14ac:dyDescent="0.25">
      <c r="A35" s="1" t="s">
        <v>7</v>
      </c>
      <c r="B35" s="1">
        <f>STDEV(B29:B33)</f>
        <v>0.18764438938803571</v>
      </c>
      <c r="C35" s="1">
        <f t="shared" ref="C35:K35" si="31">STDEV(C29:C33)</f>
        <v>0.66299551926539546</v>
      </c>
      <c r="D35" s="1">
        <f t="shared" si="31"/>
        <v>0.90663012763549711</v>
      </c>
      <c r="E35" s="1">
        <f t="shared" si="31"/>
        <v>1.165622042607803</v>
      </c>
      <c r="F35" s="1">
        <f t="shared" si="31"/>
        <v>1.6549672023604751</v>
      </c>
      <c r="G35" s="1">
        <f t="shared" si="31"/>
        <v>1.2120008292559734</v>
      </c>
      <c r="H35" s="1">
        <f t="shared" si="31"/>
        <v>0.7119191109246108</v>
      </c>
      <c r="I35" s="1">
        <f t="shared" si="31"/>
        <v>0.68641993525591583</v>
      </c>
      <c r="J35" s="1">
        <f t="shared" si="31"/>
        <v>0.74794640562344816</v>
      </c>
      <c r="K35" s="1">
        <f t="shared" si="31"/>
        <v>0.53204815739493327</v>
      </c>
    </row>
    <row r="37" spans="1:11" x14ac:dyDescent="0.25">
      <c r="A37" s="1" t="s">
        <v>10</v>
      </c>
      <c r="B37" s="1">
        <v>1</v>
      </c>
      <c r="C37" s="1">
        <v>2</v>
      </c>
      <c r="D37" s="1">
        <v>3</v>
      </c>
      <c r="E37" s="1">
        <v>4</v>
      </c>
      <c r="F37" s="1">
        <v>5</v>
      </c>
      <c r="G37" s="1">
        <v>6</v>
      </c>
      <c r="H37" s="1">
        <v>7</v>
      </c>
      <c r="I37" s="1">
        <v>8</v>
      </c>
      <c r="J37" s="1">
        <v>9</v>
      </c>
      <c r="K37" s="1">
        <v>10</v>
      </c>
    </row>
    <row r="38" spans="1:11" x14ac:dyDescent="0.25">
      <c r="A38" s="1" t="s">
        <v>0</v>
      </c>
      <c r="B38" s="1">
        <v>0.22205313378573799</v>
      </c>
      <c r="C38" s="1">
        <v>0.33919134344860402</v>
      </c>
      <c r="D38" s="1">
        <v>0.38936472590320098</v>
      </c>
      <c r="E38" s="1">
        <v>0.422245913080742</v>
      </c>
      <c r="F38" s="1">
        <v>0.449088225168574</v>
      </c>
      <c r="G38" s="1">
        <v>0.47464429392110202</v>
      </c>
      <c r="H38" s="1">
        <v>0.49980581534740498</v>
      </c>
      <c r="I38" s="1">
        <v>0.53134618849600701</v>
      </c>
      <c r="J38" s="1">
        <v>0.56942068748817598</v>
      </c>
      <c r="K38" s="1">
        <v>0.63447681971320302</v>
      </c>
    </row>
    <row r="39" spans="1:11" x14ac:dyDescent="0.25">
      <c r="A39" s="1" t="s">
        <v>1</v>
      </c>
      <c r="B39" s="1">
        <v>0.191274882812344</v>
      </c>
      <c r="C39" s="1">
        <v>0.281114278155775</v>
      </c>
      <c r="D39" s="1">
        <v>0.324043018048701</v>
      </c>
      <c r="E39" s="1">
        <v>0.35635536434659099</v>
      </c>
      <c r="F39" s="1">
        <v>0.385886466799582</v>
      </c>
      <c r="G39" s="1">
        <v>0.41920934905395002</v>
      </c>
      <c r="H39" s="1">
        <v>0.45274016134747402</v>
      </c>
      <c r="I39" s="1">
        <v>0.49232735840675901</v>
      </c>
      <c r="J39" s="1">
        <v>0.53884535579481796</v>
      </c>
      <c r="K39" s="1">
        <v>0.638311602509124</v>
      </c>
    </row>
    <row r="40" spans="1:11" x14ac:dyDescent="0.25">
      <c r="A40" s="1" t="s">
        <v>2</v>
      </c>
      <c r="B40" s="1">
        <v>0.158584429218843</v>
      </c>
      <c r="C40" s="1">
        <v>0.30109888247773597</v>
      </c>
      <c r="D40" s="1">
        <v>0.353878937758692</v>
      </c>
      <c r="E40" s="1">
        <v>0.38652773498409398</v>
      </c>
      <c r="F40" s="1">
        <v>0.41558986864291902</v>
      </c>
      <c r="G40" s="1">
        <v>0.445442069014715</v>
      </c>
      <c r="H40" s="1">
        <v>0.47227059696652601</v>
      </c>
      <c r="I40" s="1">
        <v>0.50251643602902496</v>
      </c>
      <c r="J40" s="1">
        <v>0.54729455125975801</v>
      </c>
      <c r="K40" s="1">
        <v>0.62382424794899705</v>
      </c>
    </row>
    <row r="41" spans="1:11" x14ac:dyDescent="0.25">
      <c r="A41" s="1" t="s">
        <v>3</v>
      </c>
      <c r="B41" s="1">
        <v>0.27704639355902</v>
      </c>
      <c r="C41" s="1">
        <v>0.39857679913102101</v>
      </c>
      <c r="D41" s="1">
        <v>0.492988774435618</v>
      </c>
      <c r="E41" s="1">
        <v>0.57900358612266101</v>
      </c>
      <c r="F41" s="1">
        <v>0.64327846210821504</v>
      </c>
      <c r="G41" s="1">
        <v>0.68611444308625902</v>
      </c>
      <c r="H41" s="1">
        <v>0.71759946692030696</v>
      </c>
      <c r="I41" s="1">
        <v>0.74887260002280098</v>
      </c>
      <c r="J41" s="1">
        <v>0.78220503669125097</v>
      </c>
      <c r="K41" s="1">
        <v>0.83613597211212798</v>
      </c>
    </row>
    <row r="42" spans="1:11" x14ac:dyDescent="0.25">
      <c r="A42" s="1" t="s">
        <v>4</v>
      </c>
      <c r="B42" s="1">
        <v>0.10206073065559899</v>
      </c>
      <c r="C42" s="1">
        <v>0.23244727101176199</v>
      </c>
      <c r="D42" s="1">
        <v>0.336862933291249</v>
      </c>
      <c r="E42" s="1">
        <v>0.41934640974322102</v>
      </c>
      <c r="F42" s="1">
        <v>0.50012173402209104</v>
      </c>
      <c r="G42" s="1">
        <v>0.57180082798325704</v>
      </c>
      <c r="H42" s="1">
        <v>0.63337291379279304</v>
      </c>
      <c r="I42" s="1">
        <v>0.69190349912139903</v>
      </c>
      <c r="J42" s="1">
        <v>0.74969608950279498</v>
      </c>
      <c r="K42" s="1">
        <v>0.81618822176541295</v>
      </c>
    </row>
    <row r="43" spans="1:11" x14ac:dyDescent="0.25">
      <c r="A43" s="1" t="s">
        <v>6</v>
      </c>
      <c r="B43" s="1">
        <f>AVERAGE(B38:B42)</f>
        <v>0.19020391400630882</v>
      </c>
      <c r="C43" s="1">
        <f t="shared" ref="C43:K43" si="32">AVERAGE(C38:C42)</f>
        <v>0.31048571484497961</v>
      </c>
      <c r="D43" s="1">
        <f t="shared" si="32"/>
        <v>0.37942767788749221</v>
      </c>
      <c r="E43" s="1">
        <f t="shared" si="32"/>
        <v>0.43269580165546173</v>
      </c>
      <c r="F43" s="1">
        <f t="shared" si="32"/>
        <v>0.47879295134827621</v>
      </c>
      <c r="G43" s="1">
        <f t="shared" si="32"/>
        <v>0.51944219661185664</v>
      </c>
      <c r="H43" s="1">
        <f t="shared" si="32"/>
        <v>0.55515779087490102</v>
      </c>
      <c r="I43" s="1">
        <f t="shared" si="32"/>
        <v>0.59339321641519827</v>
      </c>
      <c r="J43" s="1">
        <f t="shared" si="32"/>
        <v>0.63749234414735967</v>
      </c>
      <c r="K43" s="1">
        <f t="shared" si="32"/>
        <v>0.709787372809773</v>
      </c>
    </row>
    <row r="44" spans="1:11" x14ac:dyDescent="0.25">
      <c r="A44" s="1" t="s">
        <v>7</v>
      </c>
      <c r="B44" s="1">
        <f>STDEV(B38:B42)</f>
        <v>6.5814414490722575E-2</v>
      </c>
      <c r="C44" s="1">
        <f t="shared" ref="C44:K44" si="33">STDEV(C38:C42)</f>
        <v>6.2499689749647265E-2</v>
      </c>
      <c r="D44" s="1">
        <f t="shared" si="33"/>
        <v>6.8056637667920097E-2</v>
      </c>
      <c r="E44" s="1">
        <f t="shared" si="33"/>
        <v>8.6099835917428924E-2</v>
      </c>
      <c r="F44" s="1">
        <f t="shared" si="33"/>
        <v>0.10126575866547029</v>
      </c>
      <c r="G44" s="1">
        <f t="shared" si="33"/>
        <v>0.10960218830315381</v>
      </c>
      <c r="H44" s="1">
        <f t="shared" si="33"/>
        <v>0.11503086815755142</v>
      </c>
      <c r="I44" s="1">
        <f t="shared" si="33"/>
        <v>0.11853358708378701</v>
      </c>
      <c r="J44" s="1">
        <f t="shared" si="33"/>
        <v>0.1183554650705203</v>
      </c>
      <c r="K44" s="1">
        <f t="shared" si="33"/>
        <v>0.10660116461343162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棋治 韩</cp:lastModifiedBy>
  <dcterms:created xsi:type="dcterms:W3CDTF">2015-06-05T18:19:34Z</dcterms:created>
  <dcterms:modified xsi:type="dcterms:W3CDTF">2025-04-13T13:13:31Z</dcterms:modified>
</cp:coreProperties>
</file>