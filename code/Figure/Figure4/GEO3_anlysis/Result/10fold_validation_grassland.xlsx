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han05\data\fluxdata\MM\Classification\PFT\grassland\"/>
    </mc:Choice>
  </mc:AlternateContent>
  <xr:revisionPtr revIDLastSave="0" documentId="13_ncr:1_{C9785370-BF81-483D-833A-F49D9AA2C7E1}" xr6:coauthVersionLast="47" xr6:coauthVersionMax="47" xr10:uidLastSave="{00000000-0000-0000-0000-000000000000}"/>
  <bookViews>
    <workbookView xWindow="10575" yWindow="2850" windowWidth="18810" windowHeight="127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4" i="1" l="1"/>
  <c r="J44" i="1"/>
  <c r="I44" i="1"/>
  <c r="H44" i="1"/>
  <c r="G44" i="1"/>
  <c r="F44" i="1"/>
  <c r="E44" i="1"/>
  <c r="D44" i="1"/>
  <c r="C44" i="1"/>
  <c r="B44" i="1"/>
  <c r="K43" i="1"/>
  <c r="J43" i="1"/>
  <c r="I43" i="1"/>
  <c r="H43" i="1"/>
  <c r="G43" i="1"/>
  <c r="F43" i="1"/>
  <c r="E43" i="1"/>
  <c r="D43" i="1"/>
  <c r="C43" i="1"/>
  <c r="B43" i="1"/>
  <c r="K35" i="1"/>
  <c r="J35" i="1"/>
  <c r="I35" i="1"/>
  <c r="H35" i="1"/>
  <c r="G35" i="1"/>
  <c r="F35" i="1"/>
  <c r="E35" i="1"/>
  <c r="D35" i="1"/>
  <c r="C35" i="1"/>
  <c r="B35" i="1"/>
  <c r="K34" i="1"/>
  <c r="J34" i="1"/>
  <c r="I34" i="1"/>
  <c r="H34" i="1"/>
  <c r="G34" i="1"/>
  <c r="F34" i="1"/>
  <c r="E34" i="1"/>
  <c r="D34" i="1"/>
  <c r="C34" i="1"/>
  <c r="B34" i="1"/>
  <c r="K26" i="1"/>
  <c r="J26" i="1"/>
  <c r="I26" i="1"/>
  <c r="H26" i="1"/>
  <c r="G26" i="1"/>
  <c r="F26" i="1"/>
  <c r="E26" i="1"/>
  <c r="D26" i="1"/>
  <c r="C26" i="1"/>
  <c r="B26" i="1"/>
  <c r="K25" i="1"/>
  <c r="J25" i="1"/>
  <c r="I25" i="1"/>
  <c r="H25" i="1"/>
  <c r="G25" i="1"/>
  <c r="F25" i="1"/>
  <c r="E25" i="1"/>
  <c r="D25" i="1"/>
  <c r="C25" i="1"/>
  <c r="B25" i="1"/>
  <c r="K17" i="1"/>
  <c r="J17" i="1"/>
  <c r="I17" i="1"/>
  <c r="H17" i="1"/>
  <c r="G17" i="1"/>
  <c r="F17" i="1"/>
  <c r="E17" i="1"/>
  <c r="D17" i="1"/>
  <c r="C17" i="1"/>
  <c r="B17" i="1"/>
  <c r="K16" i="1"/>
  <c r="J16" i="1"/>
  <c r="I16" i="1"/>
  <c r="H16" i="1"/>
  <c r="G16" i="1"/>
  <c r="F16" i="1"/>
  <c r="E16" i="1"/>
  <c r="D16" i="1"/>
  <c r="C16" i="1"/>
  <c r="B16" i="1"/>
  <c r="C8" i="1"/>
  <c r="D8" i="1"/>
  <c r="E8" i="1"/>
  <c r="F8" i="1"/>
  <c r="G8" i="1"/>
  <c r="H8" i="1"/>
  <c r="I8" i="1"/>
  <c r="J8" i="1"/>
  <c r="K8" i="1"/>
  <c r="B8" i="1"/>
  <c r="C7" i="1"/>
  <c r="D7" i="1"/>
  <c r="E7" i="1"/>
  <c r="F7" i="1"/>
  <c r="G7" i="1"/>
  <c r="H7" i="1"/>
  <c r="I7" i="1"/>
  <c r="J7" i="1"/>
  <c r="K7" i="1"/>
  <c r="B7" i="1"/>
</calcChain>
</file>

<file path=xl/sharedStrings.xml><?xml version="1.0" encoding="utf-8"?>
<sst xmlns="http://schemas.openxmlformats.org/spreadsheetml/2006/main" count="40" uniqueCount="12">
  <si>
    <t>fold1</t>
    <phoneticPr fontId="1" type="noConversion"/>
  </si>
  <si>
    <t>fold2</t>
    <phoneticPr fontId="1" type="noConversion"/>
  </si>
  <si>
    <t>fold3</t>
  </si>
  <si>
    <t>fold4</t>
  </si>
  <si>
    <t>fold5</t>
  </si>
  <si>
    <t>R2</t>
    <phoneticPr fontId="1" type="noConversion"/>
  </si>
  <si>
    <t>mean</t>
    <phoneticPr fontId="1" type="noConversion"/>
  </si>
  <si>
    <t>std</t>
    <phoneticPr fontId="1" type="noConversion"/>
  </si>
  <si>
    <t>RMSE</t>
    <phoneticPr fontId="1" type="noConversion"/>
  </si>
  <si>
    <t>bias</t>
    <phoneticPr fontId="1" type="noConversion"/>
  </si>
  <si>
    <t>SIM</t>
    <phoneticPr fontId="1" type="noConversion"/>
  </si>
  <si>
    <t>SLOPE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</si>
</sst>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11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workbookViewId="0">
      <selection activeCell="B38" sqref="B38:K42"/>
    </sheetView>
  </sheetViews>
  <sheetFormatPr defaultRowHeight="15.75" x14ac:dyDescent="0.25"/>
  <cols>
    <col min="1" max="11" width="9" style="1"/>
  </cols>
  <sheetData>
    <row r="1" spans="1:11" x14ac:dyDescent="0.25">
      <c r="A1" s="1" t="s">
        <v>5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s="1" t="s">
        <v>0</v>
      </c>
      <c r="B2" s="1">
        <v>0.15628757763383999</v>
      </c>
      <c r="C2" s="1">
        <v>0.21007377509858199</v>
      </c>
      <c r="D2" s="1">
        <v>0.2265703447014</v>
      </c>
      <c r="E2" s="1">
        <v>0.112542193135111</v>
      </c>
      <c r="F2" s="1">
        <v>3.7738042445320998E-3</v>
      </c>
      <c r="G2" s="2">
        <v>1.7269819489207101E-2</v>
      </c>
      <c r="H2" s="1">
        <v>8.4233546251816602E-2</v>
      </c>
      <c r="I2" s="1">
        <v>0.17355235111696199</v>
      </c>
      <c r="J2" s="1">
        <v>0.240705170408585</v>
      </c>
      <c r="K2" s="1">
        <v>0.27428281781075903</v>
      </c>
    </row>
    <row r="3" spans="1:11" x14ac:dyDescent="0.25">
      <c r="A3" s="1" t="s">
        <v>1</v>
      </c>
      <c r="B3" s="1">
        <v>7.7780810062761496E-2</v>
      </c>
      <c r="C3" s="1">
        <v>0.14755624888792099</v>
      </c>
      <c r="D3" s="1">
        <v>0.15207487213637499</v>
      </c>
      <c r="E3" s="1">
        <v>8.6529313358872706E-2</v>
      </c>
      <c r="F3" s="1">
        <v>3.89907982962924E-3</v>
      </c>
      <c r="G3" s="1">
        <v>1.96066196964776E-2</v>
      </c>
      <c r="H3" s="1">
        <v>5.3664632608313903E-2</v>
      </c>
      <c r="I3" s="1">
        <v>0.115336222818009</v>
      </c>
      <c r="J3" s="1">
        <v>0.15792867577446501</v>
      </c>
      <c r="K3" s="1">
        <v>0.22124798656401501</v>
      </c>
    </row>
    <row r="4" spans="1:11" x14ac:dyDescent="0.25">
      <c r="A4" s="1" t="s">
        <v>2</v>
      </c>
      <c r="B4" s="1">
        <v>0.14950251198930201</v>
      </c>
      <c r="C4" s="1">
        <v>0.19555993519891801</v>
      </c>
      <c r="D4" s="1">
        <v>0.18198566657847501</v>
      </c>
      <c r="E4" s="2">
        <v>0.117193043425572</v>
      </c>
      <c r="F4" s="2">
        <v>3.30240321442325E-4</v>
      </c>
      <c r="G4" s="1">
        <v>4.20047072433926E-2</v>
      </c>
      <c r="H4" s="1">
        <v>0.106969096782958</v>
      </c>
      <c r="I4" s="1">
        <v>0.146047209175592</v>
      </c>
      <c r="J4" s="1">
        <v>0.18594815911114301</v>
      </c>
      <c r="K4" s="1">
        <v>0.242879124395529</v>
      </c>
    </row>
    <row r="5" spans="1:11" x14ac:dyDescent="0.25">
      <c r="A5" s="1" t="s">
        <v>3</v>
      </c>
      <c r="B5" s="1">
        <v>7.3471779583197602E-2</v>
      </c>
      <c r="C5" s="1">
        <v>0.111993726501822</v>
      </c>
      <c r="D5" s="1">
        <v>0.127109506496802</v>
      </c>
      <c r="E5" s="2">
        <v>5.7579699208281099E-2</v>
      </c>
      <c r="F5" s="2">
        <v>1.80701100842612E-5</v>
      </c>
      <c r="G5" s="1">
        <v>2.9334815670946E-2</v>
      </c>
      <c r="H5" s="1">
        <v>5.2038580470285201E-2</v>
      </c>
      <c r="I5" s="1">
        <v>7.2999928664360003E-2</v>
      </c>
      <c r="J5" s="1">
        <v>0.101957703125822</v>
      </c>
      <c r="K5" s="1">
        <v>0.17490848425267499</v>
      </c>
    </row>
    <row r="6" spans="1:11" x14ac:dyDescent="0.25">
      <c r="A6" s="1" t="s">
        <v>4</v>
      </c>
      <c r="B6" s="1">
        <v>0.21944529622190301</v>
      </c>
      <c r="C6" s="1">
        <v>0.21344332099711799</v>
      </c>
      <c r="D6" s="1">
        <v>0.22148775162355699</v>
      </c>
      <c r="E6" s="1">
        <v>0.14536945419467401</v>
      </c>
      <c r="F6" s="1">
        <v>8.9358437421984901E-4</v>
      </c>
      <c r="G6" s="1">
        <v>4.6349243842141598E-2</v>
      </c>
      <c r="H6" s="1">
        <v>0.150312951184493</v>
      </c>
      <c r="I6" s="1">
        <v>0.208760575620558</v>
      </c>
      <c r="J6" s="1">
        <v>0.22711601380431801</v>
      </c>
      <c r="K6" s="1">
        <v>0.29189452421394402</v>
      </c>
    </row>
    <row r="7" spans="1:11" x14ac:dyDescent="0.25">
      <c r="A7" s="1" t="s">
        <v>6</v>
      </c>
      <c r="B7" s="1">
        <f>AVERAGE(B2:B6)</f>
        <v>0.13529759509820083</v>
      </c>
      <c r="C7" s="1">
        <f t="shared" ref="C7:K7" si="0">AVERAGE(C2:C6)</f>
        <v>0.17572540133687223</v>
      </c>
      <c r="D7" s="1">
        <f t="shared" si="0"/>
        <v>0.18184562830732182</v>
      </c>
      <c r="E7" s="1">
        <f t="shared" si="0"/>
        <v>0.10384274066450216</v>
      </c>
      <c r="F7" s="1">
        <f t="shared" si="0"/>
        <v>1.782955775981555E-3</v>
      </c>
      <c r="G7" s="1">
        <f t="shared" si="0"/>
        <v>3.0913041188432976E-2</v>
      </c>
      <c r="H7" s="1">
        <f t="shared" si="0"/>
        <v>8.9443761459573348E-2</v>
      </c>
      <c r="I7" s="1">
        <f t="shared" si="0"/>
        <v>0.1433392574790962</v>
      </c>
      <c r="J7" s="1">
        <f t="shared" si="0"/>
        <v>0.1827311444448666</v>
      </c>
      <c r="K7" s="1">
        <f t="shared" si="0"/>
        <v>0.24104258744738441</v>
      </c>
    </row>
    <row r="8" spans="1:11" x14ac:dyDescent="0.25">
      <c r="A8" s="1" t="s">
        <v>7</v>
      </c>
      <c r="B8" s="1">
        <f>STDEV(B2:B6)</f>
        <v>6.0938096992032773E-2</v>
      </c>
      <c r="C8" s="1">
        <f t="shared" ref="C8:K8" si="1">STDEV(C2:C6)</f>
        <v>4.430318415212478E-2</v>
      </c>
      <c r="D8" s="1">
        <f t="shared" si="1"/>
        <v>4.3168735104568798E-2</v>
      </c>
      <c r="E8" s="1">
        <f t="shared" si="1"/>
        <v>3.3235533558094547E-2</v>
      </c>
      <c r="F8" s="1">
        <f t="shared" si="1"/>
        <v>1.901160417414506E-3</v>
      </c>
      <c r="G8" s="1">
        <f t="shared" si="1"/>
        <v>1.3016958835622204E-2</v>
      </c>
      <c r="H8" s="1">
        <f t="shared" si="1"/>
        <v>4.0983641872925664E-2</v>
      </c>
      <c r="I8" s="1">
        <f t="shared" si="1"/>
        <v>5.2277873008723753E-2</v>
      </c>
      <c r="J8" s="1">
        <f t="shared" si="1"/>
        <v>5.5858895380520884E-2</v>
      </c>
      <c r="K8" s="1">
        <f t="shared" si="1"/>
        <v>4.5988452585900973E-2</v>
      </c>
    </row>
    <row r="10" spans="1:11" x14ac:dyDescent="0.25">
      <c r="A10" s="1" t="s">
        <v>8</v>
      </c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</row>
    <row r="11" spans="1:11" x14ac:dyDescent="0.25">
      <c r="A11" s="1" t="s">
        <v>0</v>
      </c>
      <c r="B11" s="1">
        <v>56.210883087637498</v>
      </c>
      <c r="C11" s="1">
        <v>53.2416603587899</v>
      </c>
      <c r="D11" s="1">
        <v>49.811300027801401</v>
      </c>
      <c r="E11" s="1">
        <v>47.209557192391102</v>
      </c>
      <c r="F11" s="1">
        <v>45.9769626840013</v>
      </c>
      <c r="G11" s="1">
        <v>45.166707965594</v>
      </c>
      <c r="H11" s="1">
        <v>44.275940895249903</v>
      </c>
      <c r="I11" s="1">
        <v>42.868709645341497</v>
      </c>
      <c r="J11" s="1">
        <v>41.020121101470899</v>
      </c>
      <c r="K11" s="1">
        <v>39.371233258498599</v>
      </c>
    </row>
    <row r="12" spans="1:11" x14ac:dyDescent="0.25">
      <c r="A12" s="1" t="s">
        <v>1</v>
      </c>
      <c r="B12" s="1">
        <v>49.067198149813102</v>
      </c>
      <c r="C12" s="1">
        <v>44.978094016111697</v>
      </c>
      <c r="D12" s="1">
        <v>41.868056680933698</v>
      </c>
      <c r="E12" s="1">
        <v>39.835333541145602</v>
      </c>
      <c r="F12" s="1">
        <v>38.659507126761604</v>
      </c>
      <c r="G12" s="1">
        <v>37.8196677392704</v>
      </c>
      <c r="H12" s="1">
        <v>37.2842527038421</v>
      </c>
      <c r="I12" s="1">
        <v>36.334879303032999</v>
      </c>
      <c r="J12" s="1">
        <v>35.472234950284601</v>
      </c>
      <c r="K12" s="1">
        <v>33.927291406536398</v>
      </c>
    </row>
    <row r="13" spans="1:11" x14ac:dyDescent="0.25">
      <c r="A13" s="1" t="s">
        <v>2</v>
      </c>
      <c r="B13" s="1">
        <v>58.856518678445397</v>
      </c>
      <c r="C13" s="1">
        <v>52.494862485635302</v>
      </c>
      <c r="D13" s="1">
        <v>48.6278099535295</v>
      </c>
      <c r="E13" s="1">
        <v>46.177987404222002</v>
      </c>
      <c r="F13" s="1">
        <v>44.549854356936997</v>
      </c>
      <c r="G13" s="1">
        <v>43.601782168085698</v>
      </c>
      <c r="H13" s="1">
        <v>42.738822524559602</v>
      </c>
      <c r="I13" s="1">
        <v>41.728167301784097</v>
      </c>
      <c r="J13" s="1">
        <v>40.489604428944098</v>
      </c>
      <c r="K13" s="1">
        <v>38.717744363637898</v>
      </c>
    </row>
    <row r="14" spans="1:11" x14ac:dyDescent="0.25">
      <c r="A14" s="1" t="s">
        <v>3</v>
      </c>
      <c r="B14" s="1">
        <v>50.474821684917202</v>
      </c>
      <c r="C14" s="1">
        <v>45.9878119931466</v>
      </c>
      <c r="D14" s="1">
        <v>41.212219453810498</v>
      </c>
      <c r="E14" s="1">
        <v>38.052506893377704</v>
      </c>
      <c r="F14" s="1">
        <v>36.2895462827952</v>
      </c>
      <c r="G14" s="1">
        <v>35.313629302592901</v>
      </c>
      <c r="H14" s="1">
        <v>34.860236038057103</v>
      </c>
      <c r="I14" s="1">
        <v>34.468456386648398</v>
      </c>
      <c r="J14" s="1">
        <v>33.961529233592103</v>
      </c>
      <c r="K14" s="1">
        <v>32.683664532585603</v>
      </c>
    </row>
    <row r="15" spans="1:11" x14ac:dyDescent="0.25">
      <c r="A15" s="1" t="s">
        <v>4</v>
      </c>
      <c r="B15" s="1">
        <v>65.386455799666905</v>
      </c>
      <c r="C15" s="1">
        <v>58.900540565878302</v>
      </c>
      <c r="D15" s="1">
        <v>56.398984789223597</v>
      </c>
      <c r="E15" s="1">
        <v>53.872631633672199</v>
      </c>
      <c r="F15" s="1">
        <v>52.218157480023699</v>
      </c>
      <c r="G15" s="1">
        <v>51.285833925947202</v>
      </c>
      <c r="H15" s="1">
        <v>50.0902090946743</v>
      </c>
      <c r="I15" s="1">
        <v>48.612452503569202</v>
      </c>
      <c r="J15" s="1">
        <v>47.450125393842001</v>
      </c>
      <c r="K15" s="1">
        <v>45.298270981970902</v>
      </c>
    </row>
    <row r="16" spans="1:11" x14ac:dyDescent="0.25">
      <c r="A16" s="1" t="s">
        <v>6</v>
      </c>
      <c r="B16" s="1">
        <f>AVERAGE(B11:B15)</f>
        <v>55.999175480096014</v>
      </c>
      <c r="C16" s="1">
        <f t="shared" ref="C16" si="2">AVERAGE(C11:C15)</f>
        <v>51.120593883912363</v>
      </c>
      <c r="D16" s="1">
        <f t="shared" ref="D16" si="3">AVERAGE(D11:D15)</f>
        <v>47.583674181059735</v>
      </c>
      <c r="E16" s="1">
        <f t="shared" ref="E16" si="4">AVERAGE(E11:E15)</f>
        <v>45.02960333296172</v>
      </c>
      <c r="F16" s="1">
        <f t="shared" ref="F16" si="5">AVERAGE(F11:F15)</f>
        <v>43.538805586103763</v>
      </c>
      <c r="G16" s="1">
        <f t="shared" ref="G16" si="6">AVERAGE(G11:G15)</f>
        <v>42.63752422029804</v>
      </c>
      <c r="H16" s="1">
        <f t="shared" ref="H16" si="7">AVERAGE(H11:H15)</f>
        <v>41.8498922512766</v>
      </c>
      <c r="I16" s="1">
        <f t="shared" ref="I16" si="8">AVERAGE(I11:I15)</f>
        <v>40.802533028075246</v>
      </c>
      <c r="J16" s="1">
        <f t="shared" ref="J16" si="9">AVERAGE(J11:J15)</f>
        <v>39.678723021626737</v>
      </c>
      <c r="K16" s="1">
        <f t="shared" ref="K16" si="10">AVERAGE(K11:K15)</f>
        <v>37.99964090864588</v>
      </c>
    </row>
    <row r="17" spans="1:11" x14ac:dyDescent="0.25">
      <c r="A17" s="1" t="s">
        <v>7</v>
      </c>
      <c r="B17" s="1">
        <f>STDEV(B11:B15)</f>
        <v>6.6125081592447268</v>
      </c>
      <c r="C17" s="1">
        <f t="shared" ref="C17:K17" si="11">STDEV(C11:C15)</f>
        <v>5.7225619725536374</v>
      </c>
      <c r="D17" s="1">
        <f t="shared" si="11"/>
        <v>6.2654999060722494</v>
      </c>
      <c r="E17" s="1">
        <f t="shared" si="11"/>
        <v>6.3231805234581246</v>
      </c>
      <c r="F17" s="1">
        <f t="shared" si="11"/>
        <v>6.2979618300579396</v>
      </c>
      <c r="G17" s="1">
        <f t="shared" si="11"/>
        <v>6.3041851656168255</v>
      </c>
      <c r="H17" s="1">
        <f t="shared" si="11"/>
        <v>6.0058115436084849</v>
      </c>
      <c r="I17" s="1">
        <f t="shared" si="11"/>
        <v>5.6169650066217427</v>
      </c>
      <c r="J17" s="1">
        <f t="shared" si="11"/>
        <v>5.3205361337110606</v>
      </c>
      <c r="K17" s="1">
        <f t="shared" si="11"/>
        <v>5.0127481083646117</v>
      </c>
    </row>
    <row r="19" spans="1:11" x14ac:dyDescent="0.25">
      <c r="A19" s="1" t="s">
        <v>9</v>
      </c>
      <c r="B19" s="1">
        <v>1</v>
      </c>
      <c r="C19" s="1">
        <v>2</v>
      </c>
      <c r="D19" s="1">
        <v>3</v>
      </c>
      <c r="E19" s="1">
        <v>4</v>
      </c>
      <c r="F19" s="1">
        <v>5</v>
      </c>
      <c r="G19" s="1">
        <v>6</v>
      </c>
      <c r="H19" s="1">
        <v>7</v>
      </c>
      <c r="I19" s="1">
        <v>8</v>
      </c>
      <c r="J19" s="1">
        <v>9</v>
      </c>
      <c r="K19" s="1">
        <v>10</v>
      </c>
    </row>
    <row r="20" spans="1:11" x14ac:dyDescent="0.25">
      <c r="A20" s="1" t="s">
        <v>0</v>
      </c>
      <c r="B20" s="1">
        <v>8.7868938392928797</v>
      </c>
      <c r="C20" s="1">
        <v>8.1098464357512992</v>
      </c>
      <c r="D20" s="1">
        <v>9.1944714866893698</v>
      </c>
      <c r="E20" s="1">
        <v>9.91942876576827</v>
      </c>
      <c r="F20" s="1">
        <v>10.9514814212313</v>
      </c>
      <c r="G20" s="1">
        <v>11.056664317551901</v>
      </c>
      <c r="H20" s="1">
        <v>11.221962733510299</v>
      </c>
      <c r="I20" s="1">
        <v>10.8416758323637</v>
      </c>
      <c r="J20" s="1">
        <v>10.5959793029101</v>
      </c>
      <c r="K20" s="1">
        <v>10.190736386494001</v>
      </c>
    </row>
    <row r="21" spans="1:11" x14ac:dyDescent="0.25">
      <c r="A21" s="1" t="s">
        <v>1</v>
      </c>
      <c r="B21" s="1">
        <v>4.0607243361250998</v>
      </c>
      <c r="C21" s="1">
        <v>4.7396361371773397</v>
      </c>
      <c r="D21" s="1">
        <v>1.96461327155282</v>
      </c>
      <c r="E21" s="1">
        <v>0.90536711788420099</v>
      </c>
      <c r="F21" s="1">
        <v>1.9681110283151999</v>
      </c>
      <c r="G21" s="1">
        <v>2.4154772418147799</v>
      </c>
      <c r="H21" s="1">
        <v>2.7970615727919501</v>
      </c>
      <c r="I21" s="1">
        <v>3.1292381160096001</v>
      </c>
      <c r="J21" s="1">
        <v>3.4806388078612498</v>
      </c>
      <c r="K21" s="1">
        <v>3.2074662329755301</v>
      </c>
    </row>
    <row r="22" spans="1:11" x14ac:dyDescent="0.25">
      <c r="A22" s="1" t="s">
        <v>2</v>
      </c>
      <c r="B22" s="1">
        <v>10.427235945209</v>
      </c>
      <c r="C22" s="1">
        <v>7.2765174019890804</v>
      </c>
      <c r="D22" s="1">
        <v>4.2489313169737297</v>
      </c>
      <c r="E22" s="1">
        <v>1.6435736575123201</v>
      </c>
      <c r="F22" s="1">
        <v>1.31299899594805E-2</v>
      </c>
      <c r="G22" s="1">
        <v>0.26645992067234298</v>
      </c>
      <c r="H22" s="1">
        <v>4.4137432150215199E-2</v>
      </c>
      <c r="I22" s="1">
        <v>4.7847193467390498E-2</v>
      </c>
      <c r="J22" s="1">
        <v>0.13941523912457299</v>
      </c>
      <c r="K22" s="1">
        <v>0.726084998737342</v>
      </c>
    </row>
    <row r="23" spans="1:11" x14ac:dyDescent="0.25">
      <c r="A23" s="1" t="s">
        <v>3</v>
      </c>
      <c r="B23" s="1">
        <v>15.9405847029283</v>
      </c>
      <c r="C23" s="1">
        <v>13.745730987345</v>
      </c>
      <c r="D23" s="1">
        <v>9.9467634897652903</v>
      </c>
      <c r="E23" s="1">
        <v>6.8786464587084799</v>
      </c>
      <c r="F23" s="1">
        <v>4.6105829183902696</v>
      </c>
      <c r="G23" s="1">
        <v>3.3470002455872598</v>
      </c>
      <c r="H23" s="1">
        <v>2.8011061618232498</v>
      </c>
      <c r="I23" s="1">
        <v>2.7325818198890199</v>
      </c>
      <c r="J23" s="1">
        <v>2.6041499678557201</v>
      </c>
      <c r="K23" s="1">
        <v>3.75603740564372</v>
      </c>
    </row>
    <row r="24" spans="1:11" x14ac:dyDescent="0.25">
      <c r="A24" s="1" t="s">
        <v>4</v>
      </c>
      <c r="B24" s="1">
        <v>11.219822209501601</v>
      </c>
      <c r="C24" s="1">
        <v>5.3708809468091898</v>
      </c>
      <c r="D24" s="1">
        <v>3.9036345405847999</v>
      </c>
      <c r="E24" s="1">
        <v>0.55081776945254801</v>
      </c>
      <c r="F24" s="1">
        <v>1.92765163495098</v>
      </c>
      <c r="G24" s="1">
        <v>2.5698970190258699</v>
      </c>
      <c r="H24" s="1">
        <v>2.1945597207846999</v>
      </c>
      <c r="I24" s="1">
        <v>1.73382418857905</v>
      </c>
      <c r="J24" s="1">
        <v>1.5577015536134899</v>
      </c>
      <c r="K24" s="1">
        <v>1.37942951608237</v>
      </c>
    </row>
    <row r="25" spans="1:11" x14ac:dyDescent="0.25">
      <c r="A25" s="1" t="s">
        <v>6</v>
      </c>
      <c r="B25" s="1">
        <f>AVERAGE(B20:B24)</f>
        <v>10.087052206611377</v>
      </c>
      <c r="C25" s="1">
        <f t="shared" ref="C25" si="12">AVERAGE(C20:C24)</f>
        <v>7.848522381814381</v>
      </c>
      <c r="D25" s="1">
        <f t="shared" ref="D25" si="13">AVERAGE(D20:D24)</f>
        <v>5.8516828211132017</v>
      </c>
      <c r="E25" s="1">
        <f t="shared" ref="E25" si="14">AVERAGE(E20:E24)</f>
        <v>3.9795667538651633</v>
      </c>
      <c r="F25" s="1">
        <f t="shared" ref="F25" si="15">AVERAGE(F20:F24)</f>
        <v>3.8941913985694461</v>
      </c>
      <c r="G25" s="1">
        <f t="shared" ref="G25" si="16">AVERAGE(G20:G24)</f>
        <v>3.9310997489304307</v>
      </c>
      <c r="H25" s="1">
        <f t="shared" ref="H25" si="17">AVERAGE(H20:H24)</f>
        <v>3.8117655242120825</v>
      </c>
      <c r="I25" s="1">
        <f t="shared" ref="I25" si="18">AVERAGE(I20:I24)</f>
        <v>3.6970334300617522</v>
      </c>
      <c r="J25" s="1">
        <f t="shared" ref="J25" si="19">AVERAGE(J20:J24)</f>
        <v>3.6755769742730267</v>
      </c>
      <c r="K25" s="1">
        <f t="shared" ref="K25" si="20">AVERAGE(K20:K24)</f>
        <v>3.8519509079865926</v>
      </c>
    </row>
    <row r="26" spans="1:11" x14ac:dyDescent="0.25">
      <c r="A26" s="1" t="s">
        <v>7</v>
      </c>
      <c r="B26" s="1">
        <f>STDEV(B20:B24)</f>
        <v>4.291554931595317</v>
      </c>
      <c r="C26" s="1">
        <f t="shared" ref="C26:K26" si="21">STDEV(C20:C24)</f>
        <v>3.5698890059007242</v>
      </c>
      <c r="D26" s="1">
        <f t="shared" si="21"/>
        <v>3.5148590268986299</v>
      </c>
      <c r="E26" s="1">
        <f t="shared" si="21"/>
        <v>4.1937605618844112</v>
      </c>
      <c r="F26" s="1">
        <f t="shared" si="21"/>
        <v>4.2707804077711193</v>
      </c>
      <c r="G26" s="1">
        <f t="shared" si="21"/>
        <v>4.1441046131290555</v>
      </c>
      <c r="H26" s="1">
        <f t="shared" si="21"/>
        <v>4.2945446553515962</v>
      </c>
      <c r="I26" s="1">
        <f t="shared" si="21"/>
        <v>4.1674099929988921</v>
      </c>
      <c r="J26" s="1">
        <f t="shared" si="21"/>
        <v>4.0641038748896321</v>
      </c>
      <c r="K26" s="1">
        <f t="shared" si="21"/>
        <v>3.7579635760216874</v>
      </c>
    </row>
    <row r="28" spans="1:11" x14ac:dyDescent="0.25">
      <c r="A28" s="1" t="s">
        <v>11</v>
      </c>
      <c r="B28" s="1">
        <v>1</v>
      </c>
      <c r="C28" s="1">
        <v>2</v>
      </c>
      <c r="D28" s="1">
        <v>3</v>
      </c>
      <c r="E28" s="1">
        <v>4</v>
      </c>
      <c r="F28" s="1">
        <v>5</v>
      </c>
      <c r="G28" s="1">
        <v>6</v>
      </c>
      <c r="H28" s="1">
        <v>7</v>
      </c>
      <c r="I28" s="1">
        <v>8</v>
      </c>
      <c r="J28" s="1">
        <v>9</v>
      </c>
      <c r="K28" s="1">
        <v>10</v>
      </c>
    </row>
    <row r="29" spans="1:11" x14ac:dyDescent="0.25">
      <c r="A29" s="1" t="s">
        <v>0</v>
      </c>
      <c r="B29" s="1">
        <v>-0.85424781779935999</v>
      </c>
      <c r="C29" s="1">
        <v>-1.3680751322484901</v>
      </c>
      <c r="D29" s="1">
        <v>-2.3966385217457402</v>
      </c>
      <c r="E29" s="1">
        <v>-2.87181526803028</v>
      </c>
      <c r="F29" s="1">
        <v>-0.61781993328561602</v>
      </c>
      <c r="G29" s="1">
        <v>1.16068239545151</v>
      </c>
      <c r="H29" s="1">
        <v>2.1741239533947998</v>
      </c>
      <c r="I29" s="1">
        <v>2.2967555710930201</v>
      </c>
      <c r="J29" s="1">
        <v>1.7719673463175101</v>
      </c>
      <c r="K29" s="1">
        <v>1.31359075861889</v>
      </c>
    </row>
    <row r="30" spans="1:11" x14ac:dyDescent="0.25">
      <c r="A30" s="1" t="s">
        <v>1</v>
      </c>
      <c r="B30" s="1">
        <v>-0.48779636917603397</v>
      </c>
      <c r="C30" s="1">
        <v>-1.1293872212153</v>
      </c>
      <c r="D30" s="1">
        <v>-1.8870290579561699</v>
      </c>
      <c r="E30" s="1">
        <v>-2.2986007753372899</v>
      </c>
      <c r="F30" s="1">
        <v>-0.56470276231660999</v>
      </c>
      <c r="G30" s="1">
        <v>1.0698605910927099</v>
      </c>
      <c r="H30" s="1">
        <v>1.44533991221268</v>
      </c>
      <c r="I30" s="1">
        <v>1.6322471466905399</v>
      </c>
      <c r="J30" s="1">
        <v>1.4596848574488399</v>
      </c>
      <c r="K30" s="1">
        <v>1.2057263922433501</v>
      </c>
    </row>
    <row r="31" spans="1:11" x14ac:dyDescent="0.25">
      <c r="A31" s="1" t="s">
        <v>2</v>
      </c>
      <c r="B31" s="1">
        <v>-0.71670510884536898</v>
      </c>
      <c r="C31" s="1">
        <v>-1.40927317253671</v>
      </c>
      <c r="D31" s="1">
        <v>-2.2796529240978698</v>
      </c>
      <c r="E31" s="1">
        <v>-3.21469131711358</v>
      </c>
      <c r="F31" s="1">
        <v>-0.21248859738777401</v>
      </c>
      <c r="G31" s="1">
        <v>1.9382496640606599</v>
      </c>
      <c r="H31" s="1">
        <v>2.4236965064182101</v>
      </c>
      <c r="I31" s="1">
        <v>1.8936599329347901</v>
      </c>
      <c r="J31" s="1">
        <v>1.4984403409554199</v>
      </c>
      <c r="K31" s="1">
        <v>1.18271986235713</v>
      </c>
    </row>
    <row r="32" spans="1:11" x14ac:dyDescent="0.25">
      <c r="A32" s="1" t="s">
        <v>3</v>
      </c>
      <c r="B32" s="1">
        <v>-0.40798693243307199</v>
      </c>
      <c r="C32" s="1">
        <v>-0.73427251958157702</v>
      </c>
      <c r="D32" s="1">
        <v>-1.3569845530882001</v>
      </c>
      <c r="E32" s="1">
        <v>-1.52597778803977</v>
      </c>
      <c r="F32" s="1">
        <v>3.0933970614707301E-2</v>
      </c>
      <c r="G32" s="1">
        <v>1.0475652224582199</v>
      </c>
      <c r="H32" s="1">
        <v>1.0973559540178399</v>
      </c>
      <c r="I32" s="1">
        <v>0.93663230208161796</v>
      </c>
      <c r="J32" s="1">
        <v>0.86268821870827905</v>
      </c>
      <c r="K32" s="1">
        <v>0.88617492034317902</v>
      </c>
    </row>
    <row r="33" spans="1:11" x14ac:dyDescent="0.25">
      <c r="A33" s="1" t="s">
        <v>4</v>
      </c>
      <c r="B33" s="1">
        <v>-1.16696684855837</v>
      </c>
      <c r="C33" s="1">
        <v>-1.9529369120765001</v>
      </c>
      <c r="D33" s="1">
        <v>-2.9928310436238998</v>
      </c>
      <c r="E33" s="1">
        <v>-4.3211829289950598</v>
      </c>
      <c r="F33" s="1">
        <v>-0.43670499644487298</v>
      </c>
      <c r="G33" s="1">
        <v>2.69168858094192</v>
      </c>
      <c r="H33" s="1">
        <v>3.5778437380549599</v>
      </c>
      <c r="I33" s="1">
        <v>2.7098486177384902</v>
      </c>
      <c r="J33" s="1">
        <v>2.0633612703272002</v>
      </c>
      <c r="K33" s="1">
        <v>1.72249662235782</v>
      </c>
    </row>
    <row r="34" spans="1:11" x14ac:dyDescent="0.25">
      <c r="A34" s="1" t="s">
        <v>6</v>
      </c>
      <c r="B34" s="1">
        <f>AVERAGE(B29:B33)</f>
        <v>-0.72674061536244083</v>
      </c>
      <c r="C34" s="1">
        <f t="shared" ref="C34" si="22">AVERAGE(C29:C33)</f>
        <v>-1.3187889915317155</v>
      </c>
      <c r="D34" s="1">
        <f t="shared" ref="D34" si="23">AVERAGE(D29:D33)</f>
        <v>-2.182627220102376</v>
      </c>
      <c r="E34" s="1">
        <f t="shared" ref="E34" si="24">AVERAGE(E29:E33)</f>
        <v>-2.8464536155031959</v>
      </c>
      <c r="F34" s="1">
        <f t="shared" ref="F34" si="25">AVERAGE(F29:F33)</f>
        <v>-0.36015646376403315</v>
      </c>
      <c r="G34" s="1">
        <f t="shared" ref="G34" si="26">AVERAGE(G29:G33)</f>
        <v>1.5816092908010038</v>
      </c>
      <c r="H34" s="1">
        <f t="shared" ref="H34" si="27">AVERAGE(H29:H33)</f>
        <v>2.1436720128196982</v>
      </c>
      <c r="I34" s="1">
        <f t="shared" ref="I34" si="28">AVERAGE(I29:I33)</f>
        <v>1.8938287141076917</v>
      </c>
      <c r="J34" s="1">
        <f t="shared" ref="J34" si="29">AVERAGE(J29:J33)</f>
        <v>1.5312284067514499</v>
      </c>
      <c r="K34" s="1">
        <f t="shared" ref="K34" si="30">AVERAGE(K29:K33)</f>
        <v>1.2621417111840738</v>
      </c>
    </row>
    <row r="35" spans="1:11" x14ac:dyDescent="0.25">
      <c r="A35" s="1" t="s">
        <v>7</v>
      </c>
      <c r="B35" s="1">
        <f>STDEV(B29:B33)</f>
        <v>0.30366766276014956</v>
      </c>
      <c r="C35" s="1">
        <f t="shared" ref="C35:K35" si="31">STDEV(C29:C33)</f>
        <v>0.44449202253533232</v>
      </c>
      <c r="D35" s="1">
        <f t="shared" si="31"/>
        <v>0.60842196442401419</v>
      </c>
      <c r="E35" s="1">
        <f t="shared" si="31"/>
        <v>1.0434160138424482</v>
      </c>
      <c r="F35" s="1">
        <f t="shared" si="31"/>
        <v>0.26872237358271728</v>
      </c>
      <c r="G35" s="1">
        <f t="shared" si="31"/>
        <v>0.72175786037499357</v>
      </c>
      <c r="H35" s="1">
        <f t="shared" si="31"/>
        <v>0.96418807719358346</v>
      </c>
      <c r="I35" s="1">
        <f t="shared" si="31"/>
        <v>0.6732177306222672</v>
      </c>
      <c r="J35" s="1">
        <f t="shared" si="31"/>
        <v>0.44560636812521459</v>
      </c>
      <c r="K35" s="1">
        <f t="shared" si="31"/>
        <v>0.30224790934810913</v>
      </c>
    </row>
    <row r="37" spans="1:11" x14ac:dyDescent="0.25">
      <c r="A37" s="1" t="s">
        <v>10</v>
      </c>
      <c r="B37" s="1">
        <v>1</v>
      </c>
      <c r="C37" s="1">
        <v>2</v>
      </c>
      <c r="D37" s="1">
        <v>3</v>
      </c>
      <c r="E37" s="1">
        <v>4</v>
      </c>
      <c r="F37" s="1">
        <v>5</v>
      </c>
      <c r="G37" s="1">
        <v>6</v>
      </c>
      <c r="H37" s="1">
        <v>7</v>
      </c>
      <c r="I37" s="1">
        <v>8</v>
      </c>
      <c r="J37" s="1">
        <v>9</v>
      </c>
      <c r="K37" s="1">
        <v>10</v>
      </c>
    </row>
    <row r="38" spans="1:11" x14ac:dyDescent="0.25">
      <c r="A38" s="1" t="s">
        <v>0</v>
      </c>
      <c r="B38" s="1">
        <v>0.14685643132653201</v>
      </c>
      <c r="C38" s="1">
        <v>0.28858440828825299</v>
      </c>
      <c r="D38" s="1">
        <v>0.39655463052803502</v>
      </c>
      <c r="E38" s="1">
        <v>0.490849573197085</v>
      </c>
      <c r="F38" s="1">
        <v>0.56450608539235303</v>
      </c>
      <c r="G38" s="1">
        <v>0.61775004293330804</v>
      </c>
      <c r="H38" s="1">
        <v>0.66589669762815595</v>
      </c>
      <c r="I38" s="1">
        <v>0.72248887397735095</v>
      </c>
      <c r="J38" s="1">
        <v>0.78214149790677401</v>
      </c>
      <c r="K38" s="1">
        <v>0.88326262854274495</v>
      </c>
    </row>
    <row r="39" spans="1:11" x14ac:dyDescent="0.25">
      <c r="A39" s="1" t="s">
        <v>1</v>
      </c>
      <c r="B39" s="1">
        <v>0.155531395165035</v>
      </c>
      <c r="C39" s="1">
        <v>0.28538095011067099</v>
      </c>
      <c r="D39" s="1">
        <v>0.38028816212006999</v>
      </c>
      <c r="E39" s="1">
        <v>0.45414047575008398</v>
      </c>
      <c r="F39" s="1">
        <v>0.51603745727875605</v>
      </c>
      <c r="G39" s="1">
        <v>0.58009172331543901</v>
      </c>
      <c r="H39" s="1">
        <v>0.64068170327217799</v>
      </c>
      <c r="I39" s="1">
        <v>0.70247393910310896</v>
      </c>
      <c r="J39" s="1">
        <v>0.76453926472032696</v>
      </c>
      <c r="K39" s="1">
        <v>0.85424732779441603</v>
      </c>
    </row>
    <row r="40" spans="1:11" x14ac:dyDescent="0.25">
      <c r="A40" s="1" t="s">
        <v>2</v>
      </c>
      <c r="B40" s="1">
        <v>2.95022826919339E-2</v>
      </c>
      <c r="C40" s="1">
        <v>0.12166455420596101</v>
      </c>
      <c r="D40" s="1">
        <v>0.227733539448396</v>
      </c>
      <c r="E40" s="1">
        <v>0.305753059275853</v>
      </c>
      <c r="F40" s="1">
        <v>0.36540045732167498</v>
      </c>
      <c r="G40" s="1">
        <v>0.41289126716661001</v>
      </c>
      <c r="H40" s="1">
        <v>0.45466389773904697</v>
      </c>
      <c r="I40" s="1">
        <v>0.49886573031513598</v>
      </c>
      <c r="J40" s="1">
        <v>0.55688553521377504</v>
      </c>
      <c r="K40" s="1">
        <v>0.66416528169206301</v>
      </c>
    </row>
    <row r="41" spans="1:11" x14ac:dyDescent="0.25">
      <c r="A41" s="1" t="s">
        <v>3</v>
      </c>
      <c r="B41" s="1">
        <v>2.9702910364299399E-2</v>
      </c>
      <c r="C41" s="1">
        <v>0.103834033812105</v>
      </c>
      <c r="D41" s="1">
        <v>0.196676261470174</v>
      </c>
      <c r="E41" s="1">
        <v>0.28745643398541298</v>
      </c>
      <c r="F41" s="1">
        <v>0.35125864456439598</v>
      </c>
      <c r="G41" s="1">
        <v>0.397883561454135</v>
      </c>
      <c r="H41" s="1">
        <v>0.43637994976343197</v>
      </c>
      <c r="I41" s="1">
        <v>0.47209777922267798</v>
      </c>
      <c r="J41" s="1">
        <v>0.51297746758051799</v>
      </c>
      <c r="K41" s="1">
        <v>0.583471762522631</v>
      </c>
    </row>
    <row r="42" spans="1:11" x14ac:dyDescent="0.25">
      <c r="A42" s="1" t="s">
        <v>4</v>
      </c>
      <c r="B42" s="1">
        <v>0.12553074804867601</v>
      </c>
      <c r="C42" s="1">
        <v>0.25209331705855198</v>
      </c>
      <c r="D42" s="1">
        <v>0.335125263626954</v>
      </c>
      <c r="E42" s="1">
        <v>0.40706799784172898</v>
      </c>
      <c r="F42" s="1">
        <v>0.47316132814730999</v>
      </c>
      <c r="G42" s="1">
        <v>0.53638394327002403</v>
      </c>
      <c r="H42" s="1">
        <v>0.59908858655852804</v>
      </c>
      <c r="I42" s="1">
        <v>0.66832065412780695</v>
      </c>
      <c r="J42" s="1">
        <v>0.74263995967696905</v>
      </c>
      <c r="K42" s="1">
        <v>0.846217922412974</v>
      </c>
    </row>
    <row r="43" spans="1:11" x14ac:dyDescent="0.25">
      <c r="A43" s="1" t="s">
        <v>6</v>
      </c>
      <c r="B43" s="1">
        <f>AVERAGE(B38:B42)</f>
        <v>9.7424753519295276E-2</v>
      </c>
      <c r="C43" s="1">
        <f t="shared" ref="C43:K43" si="32">AVERAGE(C38:C42)</f>
        <v>0.21031145269510837</v>
      </c>
      <c r="D43" s="1">
        <f t="shared" si="32"/>
        <v>0.30727557143872575</v>
      </c>
      <c r="E43" s="1">
        <f t="shared" si="32"/>
        <v>0.3890535080100328</v>
      </c>
      <c r="F43" s="1">
        <f t="shared" si="32"/>
        <v>0.45407279454089799</v>
      </c>
      <c r="G43" s="1">
        <f t="shared" si="32"/>
        <v>0.50900010762790326</v>
      </c>
      <c r="H43" s="1">
        <f t="shared" si="32"/>
        <v>0.55934216699226824</v>
      </c>
      <c r="I43" s="1">
        <f t="shared" si="32"/>
        <v>0.61284939534921623</v>
      </c>
      <c r="J43" s="1">
        <f t="shared" si="32"/>
        <v>0.67183674501967261</v>
      </c>
      <c r="K43" s="1">
        <f t="shared" si="32"/>
        <v>0.76627298459296578</v>
      </c>
    </row>
    <row r="44" spans="1:11" x14ac:dyDescent="0.25">
      <c r="A44" s="1" t="s">
        <v>7</v>
      </c>
      <c r="B44" s="1">
        <f>STDEV(B38:B42)</f>
        <v>6.2867975922312899E-2</v>
      </c>
      <c r="C44" s="1">
        <f t="shared" ref="C44:K44" si="33">STDEV(C38:C42)</f>
        <v>9.0420576409532674E-2</v>
      </c>
      <c r="D44" s="1">
        <f t="shared" si="33"/>
        <v>9.0327648540637157E-2</v>
      </c>
      <c r="E44" s="1">
        <f t="shared" si="33"/>
        <v>8.9699783041455983E-2</v>
      </c>
      <c r="F44" s="1">
        <f t="shared" si="33"/>
        <v>9.3318053043143431E-2</v>
      </c>
      <c r="G44" s="1">
        <f t="shared" si="33"/>
        <v>9.9012924349387132E-2</v>
      </c>
      <c r="H44" s="1">
        <f t="shared" si="33"/>
        <v>0.10680240276941749</v>
      </c>
      <c r="I44" s="1">
        <f t="shared" si="33"/>
        <v>0.1182515623620438</v>
      </c>
      <c r="J44" s="1">
        <f t="shared" si="33"/>
        <v>0.12671231346881018</v>
      </c>
      <c r="K44" s="1">
        <f t="shared" si="33"/>
        <v>0.13384648362804949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棋治 韩</cp:lastModifiedBy>
  <dcterms:created xsi:type="dcterms:W3CDTF">2015-06-05T18:19:34Z</dcterms:created>
  <dcterms:modified xsi:type="dcterms:W3CDTF">2025-04-13T13:27:23Z</dcterms:modified>
</cp:coreProperties>
</file>