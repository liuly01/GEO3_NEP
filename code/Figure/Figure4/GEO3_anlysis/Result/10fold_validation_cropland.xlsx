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an05\data\fluxdata\MM\Classification\PFT\cropland\"/>
    </mc:Choice>
  </mc:AlternateContent>
  <xr:revisionPtr revIDLastSave="0" documentId="13_ncr:1_{6ED63DAB-93BE-4B79-BEB7-B7B457727337}" xr6:coauthVersionLast="47" xr6:coauthVersionMax="47" xr10:uidLastSave="{00000000-0000-0000-0000-000000000000}"/>
  <bookViews>
    <workbookView xWindow="885" yWindow="2670" windowWidth="18810" windowHeight="12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C8" i="1"/>
  <c r="D8" i="1"/>
  <c r="E8" i="1"/>
  <c r="F8" i="1"/>
  <c r="G8" i="1"/>
  <c r="H8" i="1"/>
  <c r="I8" i="1"/>
  <c r="J8" i="1"/>
  <c r="K8" i="1"/>
  <c r="B8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<sst xmlns="http://schemas.openxmlformats.org/spreadsheetml/2006/main" count="40" uniqueCount="12">
  <si>
    <t>fold1</t>
    <phoneticPr fontId="1" type="noConversion"/>
  </si>
  <si>
    <t>fold2</t>
    <phoneticPr fontId="1" type="noConversion"/>
  </si>
  <si>
    <t>fold3</t>
  </si>
  <si>
    <t>fold4</t>
  </si>
  <si>
    <t>fold5</t>
  </si>
  <si>
    <t>R2</t>
    <phoneticPr fontId="1" type="noConversion"/>
  </si>
  <si>
    <t>mean</t>
    <phoneticPr fontId="1" type="noConversion"/>
  </si>
  <si>
    <t>std</t>
    <phoneticPr fontId="1" type="noConversion"/>
  </si>
  <si>
    <t>RMSE</t>
    <phoneticPr fontId="1" type="noConversion"/>
  </si>
  <si>
    <t>bias</t>
    <phoneticPr fontId="1" type="noConversion"/>
  </si>
  <si>
    <t>SIM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</si>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</sst>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19" workbookViewId="0">
      <selection activeCell="F25" sqref="F25"/>
    </sheetView>
  </sheetViews>
  <sheetFormatPr defaultRowHeight="15.75" x14ac:dyDescent="0.25"/>
  <cols>
    <col min="1" max="11" width="9" style="1"/>
  </cols>
  <sheetData>
    <row r="1" spans="1:11" x14ac:dyDescent="0.25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0</v>
      </c>
      <c r="B2" s="1">
        <v>0.30909844033603301</v>
      </c>
      <c r="C2" s="1">
        <v>0.307964490910556</v>
      </c>
      <c r="D2" s="1">
        <v>0.29095245527651398</v>
      </c>
      <c r="E2" s="1">
        <v>0.29534370231589901</v>
      </c>
      <c r="F2" s="1">
        <v>2.2791465084672599E-2</v>
      </c>
      <c r="G2" s="1">
        <v>3.0371790164755198E-2</v>
      </c>
      <c r="H2" s="1">
        <v>0.122623407634028</v>
      </c>
      <c r="I2" s="1">
        <v>0.27297845288700301</v>
      </c>
      <c r="J2" s="1">
        <v>0.398600431961534</v>
      </c>
      <c r="K2" s="1">
        <v>0.51925556419032703</v>
      </c>
    </row>
    <row r="3" spans="1:11" x14ac:dyDescent="0.25">
      <c r="A3" s="1" t="s">
        <v>1</v>
      </c>
      <c r="B3" s="1">
        <v>0.205791364522593</v>
      </c>
      <c r="C3" s="1">
        <v>0.22615345865313299</v>
      </c>
      <c r="D3" s="1">
        <v>0.229596424439028</v>
      </c>
      <c r="E3" s="1">
        <v>0.16436155007863201</v>
      </c>
      <c r="F3" s="1">
        <v>1.85413235478784E-3</v>
      </c>
      <c r="G3" s="1">
        <v>5.4875479794766598E-2</v>
      </c>
      <c r="H3" s="1">
        <v>0.15161695495622099</v>
      </c>
      <c r="I3" s="1">
        <v>0.24466683279993401</v>
      </c>
      <c r="J3" s="1">
        <v>0.30829513305603401</v>
      </c>
      <c r="K3" s="1">
        <v>0.36513694946576702</v>
      </c>
    </row>
    <row r="4" spans="1:11" x14ac:dyDescent="0.25">
      <c r="A4" s="1" t="s">
        <v>2</v>
      </c>
      <c r="B4" s="1">
        <v>0.16305589697356701</v>
      </c>
      <c r="C4" s="1">
        <v>0.16902642729164899</v>
      </c>
      <c r="D4" s="1">
        <v>0.127167050619751</v>
      </c>
      <c r="E4" s="1">
        <v>2.3384297565184099E-2</v>
      </c>
      <c r="F4" s="2">
        <v>5.3390044658539602E-2</v>
      </c>
      <c r="G4" s="1">
        <v>0.126278565980078</v>
      </c>
      <c r="H4" s="1">
        <v>0.156295829828799</v>
      </c>
      <c r="I4" s="1">
        <v>0.169525274932283</v>
      </c>
      <c r="J4" s="1">
        <v>0.16326190438249599</v>
      </c>
      <c r="K4" s="1">
        <v>0.123836534155289</v>
      </c>
    </row>
    <row r="5" spans="1:11" x14ac:dyDescent="0.25">
      <c r="A5" s="1" t="s">
        <v>3</v>
      </c>
      <c r="B5" s="1">
        <v>0.137642111815693</v>
      </c>
      <c r="C5" s="1">
        <v>0.14170901615922199</v>
      </c>
      <c r="D5" s="1">
        <v>0.13686855939380299</v>
      </c>
      <c r="E5" s="1">
        <v>0.13801731666677799</v>
      </c>
      <c r="F5" s="1">
        <v>2.1213641336030001E-2</v>
      </c>
      <c r="G5" s="1">
        <v>1.11206698847059E-4</v>
      </c>
      <c r="H5" s="1">
        <v>3.7886255204353098E-2</v>
      </c>
      <c r="I5" s="1">
        <v>0.120197428510901</v>
      </c>
      <c r="J5" s="1">
        <v>0.21476666963650701</v>
      </c>
      <c r="K5" s="1">
        <v>0.32830579087495099</v>
      </c>
    </row>
    <row r="6" spans="1:11" x14ac:dyDescent="0.25">
      <c r="A6" s="1" t="s">
        <v>4</v>
      </c>
      <c r="B6" s="1">
        <v>0.33203555619554997</v>
      </c>
      <c r="C6" s="1">
        <v>0.32261230589360201</v>
      </c>
      <c r="D6" s="1">
        <v>0.280554079016056</v>
      </c>
      <c r="E6" s="1">
        <v>0.237862782517788</v>
      </c>
      <c r="F6" s="2">
        <v>2.6995508957619801E-2</v>
      </c>
      <c r="G6" s="1">
        <v>2.3659243825231199E-2</v>
      </c>
      <c r="H6" s="1">
        <v>0.14126346716378499</v>
      </c>
      <c r="I6" s="1">
        <v>0.29293477987399302</v>
      </c>
      <c r="J6" s="1">
        <v>0.41210504454997299</v>
      </c>
      <c r="K6" s="1">
        <v>0.51136976716135696</v>
      </c>
    </row>
    <row r="7" spans="1:11" x14ac:dyDescent="0.25">
      <c r="A7" s="1" t="s">
        <v>6</v>
      </c>
      <c r="B7" s="1">
        <f>AVERAGE(B2:B6)</f>
        <v>0.2295246739686872</v>
      </c>
      <c r="C7" s="1">
        <f t="shared" ref="C7:K7" si="0">AVERAGE(C2:C6)</f>
        <v>0.23349313978163239</v>
      </c>
      <c r="D7" s="1">
        <f t="shared" si="0"/>
        <v>0.2130277137490304</v>
      </c>
      <c r="E7" s="1">
        <f t="shared" si="0"/>
        <v>0.17179392982885625</v>
      </c>
      <c r="F7" s="1">
        <f t="shared" si="0"/>
        <v>2.5248958478329968E-2</v>
      </c>
      <c r="G7" s="1">
        <f t="shared" si="0"/>
        <v>4.7059257292735614E-2</v>
      </c>
      <c r="H7" s="1">
        <f t="shared" si="0"/>
        <v>0.1219371829574372</v>
      </c>
      <c r="I7" s="1">
        <f t="shared" si="0"/>
        <v>0.22006055380082282</v>
      </c>
      <c r="J7" s="1">
        <f t="shared" si="0"/>
        <v>0.2994058367173088</v>
      </c>
      <c r="K7" s="1">
        <f t="shared" si="0"/>
        <v>0.36958092116953817</v>
      </c>
    </row>
    <row r="8" spans="1:11" x14ac:dyDescent="0.25">
      <c r="A8" s="1" t="s">
        <v>7</v>
      </c>
      <c r="B8" s="1">
        <f>STDEV(B2:B6)</f>
        <v>8.6983100067059879E-2</v>
      </c>
      <c r="C8" s="1">
        <f t="shared" ref="C8:K8" si="1">STDEV(C2:C6)</f>
        <v>8.0812067779089142E-2</v>
      </c>
      <c r="D8" s="1">
        <f t="shared" si="1"/>
        <v>7.7586834880881486E-2</v>
      </c>
      <c r="E8" s="1">
        <f t="shared" si="1"/>
        <v>0.10350260671997878</v>
      </c>
      <c r="F8" s="1">
        <f t="shared" si="1"/>
        <v>1.8470328350818993E-2</v>
      </c>
      <c r="G8" s="1">
        <f t="shared" si="1"/>
        <v>4.8391486459641933E-2</v>
      </c>
      <c r="H8" s="1">
        <f t="shared" si="1"/>
        <v>4.8733818089741844E-2</v>
      </c>
      <c r="I8" s="1">
        <f t="shared" si="1"/>
        <v>7.287469389066499E-2</v>
      </c>
      <c r="J8" s="1">
        <f t="shared" si="1"/>
        <v>0.1099075266723023</v>
      </c>
      <c r="K8" s="1">
        <f t="shared" si="1"/>
        <v>0.1617252798926628</v>
      </c>
    </row>
    <row r="10" spans="1:11" x14ac:dyDescent="0.25">
      <c r="A10" s="1" t="s">
        <v>8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</row>
    <row r="11" spans="1:11" x14ac:dyDescent="0.25">
      <c r="A11" s="1" t="s">
        <v>0</v>
      </c>
      <c r="B11" s="1">
        <v>139.09612074508601</v>
      </c>
      <c r="C11" s="1">
        <v>123.64250834029799</v>
      </c>
      <c r="D11" s="1">
        <v>114.88206387893101</v>
      </c>
      <c r="E11" s="1">
        <v>107.383207235489</v>
      </c>
      <c r="F11" s="1">
        <v>102.59957381128901</v>
      </c>
      <c r="G11" s="1">
        <v>99.110367359939005</v>
      </c>
      <c r="H11" s="1">
        <v>95.456846915063196</v>
      </c>
      <c r="I11" s="1">
        <v>91.051486564232704</v>
      </c>
      <c r="J11" s="1">
        <v>84.413774179527294</v>
      </c>
      <c r="K11" s="1">
        <v>73.748282819872998</v>
      </c>
    </row>
    <row r="12" spans="1:11" x14ac:dyDescent="0.25">
      <c r="A12" s="1" t="s">
        <v>1</v>
      </c>
      <c r="B12" s="1">
        <v>138.87707322579499</v>
      </c>
      <c r="C12" s="1">
        <v>111.933050561139</v>
      </c>
      <c r="D12" s="1">
        <v>99.059843159020801</v>
      </c>
      <c r="E12" s="1">
        <v>93.420212749799205</v>
      </c>
      <c r="F12" s="1">
        <v>89.5536110127928</v>
      </c>
      <c r="G12" s="1">
        <v>86.999671336545205</v>
      </c>
      <c r="H12" s="1">
        <v>83.925798088260095</v>
      </c>
      <c r="I12" s="1">
        <v>81.364330718481099</v>
      </c>
      <c r="J12" s="1">
        <v>78.168289443917004</v>
      </c>
      <c r="K12" s="1">
        <v>73.807183782800394</v>
      </c>
    </row>
    <row r="13" spans="1:11" x14ac:dyDescent="0.25">
      <c r="A13" s="1" t="s">
        <v>2</v>
      </c>
      <c r="B13" s="1">
        <v>144.070078279591</v>
      </c>
      <c r="C13" s="1">
        <v>120.40634722488601</v>
      </c>
      <c r="D13" s="1">
        <v>103.35444618801</v>
      </c>
      <c r="E13" s="1">
        <v>97.100451879814599</v>
      </c>
      <c r="F13" s="1">
        <v>92.938067593558898</v>
      </c>
      <c r="G13" s="1">
        <v>89.979733439858407</v>
      </c>
      <c r="H13" s="1">
        <v>88.457475291124197</v>
      </c>
      <c r="I13" s="1">
        <v>88.421817446621901</v>
      </c>
      <c r="J13" s="1">
        <v>87.852424350938094</v>
      </c>
      <c r="K13" s="1">
        <v>88.983974175253394</v>
      </c>
    </row>
    <row r="14" spans="1:11" x14ac:dyDescent="0.25">
      <c r="A14" s="1" t="s">
        <v>3</v>
      </c>
      <c r="B14" s="1">
        <v>141.38742384865</v>
      </c>
      <c r="C14" s="1">
        <v>122.02615886558701</v>
      </c>
      <c r="D14" s="1">
        <v>111.661783281517</v>
      </c>
      <c r="E14" s="1">
        <v>104.690538025649</v>
      </c>
      <c r="F14" s="1">
        <v>101.889592514399</v>
      </c>
      <c r="G14" s="1">
        <v>100.738198628118</v>
      </c>
      <c r="H14" s="1">
        <v>97.324154360009601</v>
      </c>
      <c r="I14" s="1">
        <v>93.214969165770199</v>
      </c>
      <c r="J14" s="1">
        <v>88.369552518751306</v>
      </c>
      <c r="K14" s="1">
        <v>81.756431444222997</v>
      </c>
    </row>
    <row r="15" spans="1:11" x14ac:dyDescent="0.25">
      <c r="A15" s="1" t="s">
        <v>4</v>
      </c>
      <c r="B15" s="1">
        <v>135.604649685232</v>
      </c>
      <c r="C15" s="1">
        <v>114.091386795432</v>
      </c>
      <c r="D15" s="1">
        <v>101.009198413425</v>
      </c>
      <c r="E15" s="1">
        <v>92.634025519261797</v>
      </c>
      <c r="F15" s="1">
        <v>89.1956642022312</v>
      </c>
      <c r="G15" s="1">
        <v>86.335917886482306</v>
      </c>
      <c r="H15" s="1">
        <v>82.024137005848601</v>
      </c>
      <c r="I15" s="1">
        <v>77.117053279219405</v>
      </c>
      <c r="J15" s="1">
        <v>70.857378817422401</v>
      </c>
      <c r="K15" s="1">
        <v>61.468111471436998</v>
      </c>
    </row>
    <row r="16" spans="1:11" x14ac:dyDescent="0.25">
      <c r="A16" s="1" t="s">
        <v>6</v>
      </c>
      <c r="B16" s="1">
        <f>AVERAGE(B11:B15)</f>
        <v>139.8070691568708</v>
      </c>
      <c r="C16" s="1">
        <f t="shared" ref="C16" si="2">AVERAGE(C11:C15)</f>
        <v>118.4198903574684</v>
      </c>
      <c r="D16" s="1">
        <f t="shared" ref="D16" si="3">AVERAGE(D11:D15)</f>
        <v>105.99346698418076</v>
      </c>
      <c r="E16" s="1">
        <f t="shared" ref="E16" si="4">AVERAGE(E11:E15)</f>
        <v>99.045687082002729</v>
      </c>
      <c r="F16" s="1">
        <f t="shared" ref="F16" si="5">AVERAGE(F11:F15)</f>
        <v>95.235301826854169</v>
      </c>
      <c r="G16" s="1">
        <f t="shared" ref="G16" si="6">AVERAGE(G11:G15)</f>
        <v>92.632777730188579</v>
      </c>
      <c r="H16" s="1">
        <f t="shared" ref="H16" si="7">AVERAGE(H11:H15)</f>
        <v>89.437682332061144</v>
      </c>
      <c r="I16" s="1">
        <f t="shared" ref="I16" si="8">AVERAGE(I11:I15)</f>
        <v>86.23393143486507</v>
      </c>
      <c r="J16" s="1">
        <f t="shared" ref="J16" si="9">AVERAGE(J11:J15)</f>
        <v>81.93228386211122</v>
      </c>
      <c r="K16" s="1">
        <f t="shared" ref="K16" si="10">AVERAGE(K11:K15)</f>
        <v>75.952796738717353</v>
      </c>
    </row>
    <row r="17" spans="1:11" x14ac:dyDescent="0.25">
      <c r="A17" s="1" t="s">
        <v>7</v>
      </c>
      <c r="B17" s="1">
        <f>STDEV(B11:B15)</f>
        <v>3.1504538253984129</v>
      </c>
      <c r="C17" s="1">
        <f t="shared" ref="C17:K17" si="11">STDEV(C11:C15)</f>
        <v>5.1244988941148746</v>
      </c>
      <c r="D17" s="1">
        <f t="shared" si="11"/>
        <v>6.9104896299191889</v>
      </c>
      <c r="E17" s="1">
        <f t="shared" si="11"/>
        <v>6.6692932521935182</v>
      </c>
      <c r="F17" s="1">
        <f t="shared" si="11"/>
        <v>6.5678802646107233</v>
      </c>
      <c r="G17" s="1">
        <f t="shared" si="11"/>
        <v>6.8205203409248991</v>
      </c>
      <c r="H17" s="1">
        <f t="shared" si="11"/>
        <v>6.7957543986825364</v>
      </c>
      <c r="I17" s="1">
        <f t="shared" si="11"/>
        <v>6.7742351757810084</v>
      </c>
      <c r="J17" s="1">
        <f t="shared" si="11"/>
        <v>7.4071833562041141</v>
      </c>
      <c r="K17" s="1">
        <f t="shared" si="11"/>
        <v>10.28060558824947</v>
      </c>
    </row>
    <row r="19" spans="1:11" x14ac:dyDescent="0.25">
      <c r="A19" s="1" t="s">
        <v>9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</row>
    <row r="20" spans="1:11" x14ac:dyDescent="0.25">
      <c r="A20" s="1" t="s">
        <v>0</v>
      </c>
      <c r="B20" s="1">
        <v>31.9995980646611</v>
      </c>
      <c r="C20" s="1">
        <v>12.5715439207268</v>
      </c>
      <c r="D20" s="1">
        <v>9.0585499525112703E-2</v>
      </c>
      <c r="E20" s="1">
        <v>11.7324613187788</v>
      </c>
      <c r="F20" s="1">
        <v>18.148031866373</v>
      </c>
      <c r="G20" s="1">
        <v>17.611768733871301</v>
      </c>
      <c r="H20" s="1">
        <v>17.562794352548</v>
      </c>
      <c r="I20" s="1">
        <v>18.863333321239601</v>
      </c>
      <c r="J20" s="1">
        <v>16.991544649547698</v>
      </c>
      <c r="K20" s="1">
        <v>9.8387843888826403</v>
      </c>
    </row>
    <row r="21" spans="1:11" x14ac:dyDescent="0.25">
      <c r="A21" s="1" t="s">
        <v>1</v>
      </c>
      <c r="B21" s="1">
        <v>47.695565727164499</v>
      </c>
      <c r="C21" s="1">
        <v>12.772200637907901</v>
      </c>
      <c r="D21" s="1">
        <v>4.7693579977875897</v>
      </c>
      <c r="E21" s="1">
        <v>13.0210706448545</v>
      </c>
      <c r="F21" s="1">
        <v>15.470704009437201</v>
      </c>
      <c r="G21" s="1">
        <v>15.819905416676701</v>
      </c>
      <c r="H21" s="1">
        <v>18.3295659598916</v>
      </c>
      <c r="I21" s="1">
        <v>20.997099532339</v>
      </c>
      <c r="J21" s="1">
        <v>19.627163681410799</v>
      </c>
      <c r="K21" s="1">
        <v>15.5515938820567</v>
      </c>
    </row>
    <row r="22" spans="1:11" x14ac:dyDescent="0.25">
      <c r="A22" s="1" t="s">
        <v>2</v>
      </c>
      <c r="B22" s="1">
        <v>57.845389044966304</v>
      </c>
      <c r="C22" s="1">
        <v>35.009122056087797</v>
      </c>
      <c r="D22" s="1">
        <v>14.6443398065077</v>
      </c>
      <c r="E22" s="1">
        <v>3.8183776723607799</v>
      </c>
      <c r="F22" s="1">
        <v>1.4660407719216899</v>
      </c>
      <c r="G22" s="1">
        <v>2.8758092061145901</v>
      </c>
      <c r="H22" s="1">
        <v>2.3082324780338599</v>
      </c>
      <c r="I22" s="1">
        <v>1.9850787637081599</v>
      </c>
      <c r="J22" s="1">
        <v>2.2224528671055901</v>
      </c>
      <c r="K22" s="1">
        <v>3.9783711605704402</v>
      </c>
    </row>
    <row r="23" spans="1:11" x14ac:dyDescent="0.25">
      <c r="A23" s="1" t="s">
        <v>3</v>
      </c>
      <c r="B23" s="1">
        <v>43.4844437737436</v>
      </c>
      <c r="C23" s="1">
        <v>21.8485739080696</v>
      </c>
      <c r="D23" s="1">
        <v>8.2439656235074992</v>
      </c>
      <c r="E23" s="1">
        <v>3.6493684962289299</v>
      </c>
      <c r="F23" s="1">
        <v>9.8401199240058403</v>
      </c>
      <c r="G23" s="1">
        <v>8.7979288389788497</v>
      </c>
      <c r="H23" s="1">
        <v>6.8292603563978904</v>
      </c>
      <c r="I23" s="1">
        <v>6.3398241069089396</v>
      </c>
      <c r="J23" s="1">
        <v>3.1850851371986</v>
      </c>
      <c r="K23" s="1">
        <v>2.14996116057964</v>
      </c>
    </row>
    <row r="24" spans="1:11" x14ac:dyDescent="0.25">
      <c r="A24" s="1" t="s">
        <v>4</v>
      </c>
      <c r="B24" s="1">
        <v>46.908356323594802</v>
      </c>
      <c r="C24" s="1">
        <v>20.428455606568502</v>
      </c>
      <c r="D24" s="1">
        <v>4.34588142345393</v>
      </c>
      <c r="E24" s="1">
        <v>8.5563199425552199</v>
      </c>
      <c r="F24" s="1">
        <v>16.380629978981599</v>
      </c>
      <c r="G24" s="1">
        <v>17.9172448484203</v>
      </c>
      <c r="H24" s="1">
        <v>17.1818204072047</v>
      </c>
      <c r="I24" s="1">
        <v>17.447980136609502</v>
      </c>
      <c r="J24" s="1">
        <v>15.420386927296899</v>
      </c>
      <c r="K24" s="1">
        <v>7.8792877873826797</v>
      </c>
    </row>
    <row r="25" spans="1:11" x14ac:dyDescent="0.25">
      <c r="A25" s="1" t="s">
        <v>6</v>
      </c>
      <c r="B25" s="1">
        <f>AVERAGE(B20:B24)</f>
        <v>45.58667058682606</v>
      </c>
      <c r="C25" s="1">
        <f t="shared" ref="C25" si="12">AVERAGE(C20:C24)</f>
        <v>20.525979225872121</v>
      </c>
      <c r="D25" s="1">
        <f t="shared" ref="D25" si="13">AVERAGE(D20:D24)</f>
        <v>6.4188260701563662</v>
      </c>
      <c r="E25" s="1">
        <f t="shared" ref="E25" si="14">AVERAGE(E20:E24)</f>
        <v>8.1555196149556455</v>
      </c>
      <c r="F25" s="1">
        <f t="shared" ref="F25" si="15">AVERAGE(F20:F24)</f>
        <v>12.261105310143867</v>
      </c>
      <c r="G25" s="1">
        <f t="shared" ref="G25" si="16">AVERAGE(G20:G24)</f>
        <v>12.604531408812349</v>
      </c>
      <c r="H25" s="1">
        <f t="shared" ref="H25" si="17">AVERAGE(H20:H24)</f>
        <v>12.442334710815208</v>
      </c>
      <c r="I25" s="1">
        <f t="shared" ref="I25" si="18">AVERAGE(I20:I24)</f>
        <v>13.12666317216104</v>
      </c>
      <c r="J25" s="1">
        <f t="shared" ref="J25" si="19">AVERAGE(J20:J24)</f>
        <v>11.489326652511917</v>
      </c>
      <c r="K25" s="1">
        <f t="shared" ref="K25" si="20">AVERAGE(K20:K24)</f>
        <v>7.8795996758944202</v>
      </c>
    </row>
    <row r="26" spans="1:11" x14ac:dyDescent="0.25">
      <c r="A26" s="1" t="s">
        <v>7</v>
      </c>
      <c r="B26" s="1">
        <f>STDEV(B20:B24)</f>
        <v>9.2937931899720176</v>
      </c>
      <c r="C26" s="1">
        <f t="shared" ref="C26:K26" si="21">STDEV(C20:C24)</f>
        <v>9.150332196224376</v>
      </c>
      <c r="D26" s="1">
        <f t="shared" si="21"/>
        <v>5.4326486120020432</v>
      </c>
      <c r="E26" s="1">
        <f t="shared" si="21"/>
        <v>4.3515783864800337</v>
      </c>
      <c r="F26" s="1">
        <f t="shared" si="21"/>
        <v>6.7882711387064445</v>
      </c>
      <c r="G26" s="1">
        <f t="shared" si="21"/>
        <v>6.5721807368869465</v>
      </c>
      <c r="H26" s="1">
        <f t="shared" si="21"/>
        <v>7.3747534731962041</v>
      </c>
      <c r="I26" s="1">
        <f t="shared" si="21"/>
        <v>8.4220398484346237</v>
      </c>
      <c r="J26" s="1">
        <f t="shared" si="21"/>
        <v>8.1668140388268764</v>
      </c>
      <c r="K26" s="1">
        <f t="shared" si="21"/>
        <v>5.2618020055211199</v>
      </c>
    </row>
    <row r="28" spans="1:11" x14ac:dyDescent="0.25">
      <c r="A28" s="1" t="s">
        <v>11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</row>
    <row r="29" spans="1:11" x14ac:dyDescent="0.25">
      <c r="A29" s="1" t="s">
        <v>0</v>
      </c>
      <c r="B29" s="1">
        <v>-1.0500167048262901</v>
      </c>
      <c r="C29" s="1">
        <v>-1.50933138661997</v>
      </c>
      <c r="D29" s="1">
        <v>-2.0838837850044198</v>
      </c>
      <c r="E29" s="1">
        <v>-4.0875345932344098</v>
      </c>
      <c r="F29" s="1">
        <v>-1.5103763093213201</v>
      </c>
      <c r="G29" s="1">
        <v>1.1800669829089501</v>
      </c>
      <c r="H29" s="1">
        <v>1.6952356199310601</v>
      </c>
      <c r="I29" s="1">
        <v>2.2182877204941001</v>
      </c>
      <c r="J29" s="1">
        <v>1.96371067603706</v>
      </c>
      <c r="K29" s="1">
        <v>1.54207304170991</v>
      </c>
    </row>
    <row r="30" spans="1:11" x14ac:dyDescent="0.25">
      <c r="A30" s="1" t="s">
        <v>1</v>
      </c>
      <c r="B30" s="1">
        <v>-0.61972704978946902</v>
      </c>
      <c r="C30" s="1">
        <v>-1.0985364132950599</v>
      </c>
      <c r="D30" s="1">
        <v>-2.13099088797687</v>
      </c>
      <c r="E30" s="1">
        <v>-3.5191616216833199</v>
      </c>
      <c r="F30" s="1">
        <v>0.32472262678583103</v>
      </c>
      <c r="G30" s="1">
        <v>1.1832351334350899</v>
      </c>
      <c r="H30" s="1">
        <v>1.54865662777036</v>
      </c>
      <c r="I30" s="1">
        <v>1.7328716326053899</v>
      </c>
      <c r="J30" s="1">
        <v>1.65906240067624</v>
      </c>
      <c r="K30" s="1">
        <v>1.4792291180135</v>
      </c>
    </row>
    <row r="31" spans="1:11" x14ac:dyDescent="0.25">
      <c r="A31" s="1" t="s">
        <v>2</v>
      </c>
      <c r="B31" s="1">
        <v>-0.62801815061052002</v>
      </c>
      <c r="C31" s="1">
        <v>-1.0532517679352</v>
      </c>
      <c r="D31" s="1">
        <v>-1.9685357471973</v>
      </c>
      <c r="E31" s="1">
        <v>-1.4073705111019299</v>
      </c>
      <c r="F31" s="1">
        <v>1.9012536835000999</v>
      </c>
      <c r="G31" s="1">
        <v>1.7767655271889899</v>
      </c>
      <c r="H31" s="1">
        <v>1.65155696062503</v>
      </c>
      <c r="I31" s="1">
        <v>1.87700404216252</v>
      </c>
      <c r="J31" s="1">
        <v>1.5279697761109601</v>
      </c>
      <c r="K31" s="1">
        <v>0.91489062401131505</v>
      </c>
    </row>
    <row r="32" spans="1:11" x14ac:dyDescent="0.25">
      <c r="A32" s="1" t="s">
        <v>3</v>
      </c>
      <c r="B32" s="1">
        <v>-0.59478326116152502</v>
      </c>
      <c r="C32" s="1">
        <v>-0.92111202312893903</v>
      </c>
      <c r="D32" s="1">
        <v>-1.3858622221502801</v>
      </c>
      <c r="E32" s="1">
        <v>-2.72164368212152</v>
      </c>
      <c r="F32" s="1">
        <v>-1.1605751285793799</v>
      </c>
      <c r="G32" s="1">
        <v>5.6914624134427001E-2</v>
      </c>
      <c r="H32" s="1">
        <v>0.80335214146683098</v>
      </c>
      <c r="I32" s="1">
        <v>1.2603761107786</v>
      </c>
      <c r="J32" s="1">
        <v>1.3221224641338201</v>
      </c>
      <c r="K32" s="1">
        <v>1.23318151429199</v>
      </c>
    </row>
    <row r="33" spans="1:11" x14ac:dyDescent="0.25">
      <c r="A33" s="1" t="s">
        <v>4</v>
      </c>
      <c r="B33" s="1">
        <v>-0.86243526443598195</v>
      </c>
      <c r="C33" s="1">
        <v>-1.2467736805816501</v>
      </c>
      <c r="D33" s="1">
        <v>-1.8149342593279401</v>
      </c>
      <c r="E33" s="1">
        <v>-3.32040107891752</v>
      </c>
      <c r="F33" s="1">
        <v>-1.3958303056853201</v>
      </c>
      <c r="G33" s="1">
        <v>0.90652155604544105</v>
      </c>
      <c r="H33" s="1">
        <v>1.65188246263498</v>
      </c>
      <c r="I33" s="1">
        <v>1.89690411174819</v>
      </c>
      <c r="J33" s="1">
        <v>1.6753352776394099</v>
      </c>
      <c r="K33" s="1">
        <v>1.2478793167992299</v>
      </c>
    </row>
    <row r="34" spans="1:11" x14ac:dyDescent="0.25">
      <c r="A34" s="1" t="s">
        <v>6</v>
      </c>
      <c r="B34" s="1">
        <f>AVERAGE(B29:B33)</f>
        <v>-0.75099608616475722</v>
      </c>
      <c r="C34" s="1">
        <f t="shared" ref="C34" si="22">AVERAGE(C29:C33)</f>
        <v>-1.1658010543121637</v>
      </c>
      <c r="D34" s="1">
        <f t="shared" ref="D34" si="23">AVERAGE(D29:D33)</f>
        <v>-1.8768413803313622</v>
      </c>
      <c r="E34" s="1">
        <f t="shared" ref="E34" si="24">AVERAGE(E29:E33)</f>
        <v>-3.0112222974117402</v>
      </c>
      <c r="F34" s="1">
        <f t="shared" ref="F34" si="25">AVERAGE(F29:F33)</f>
        <v>-0.36816108666001784</v>
      </c>
      <c r="G34" s="1">
        <f t="shared" ref="G34" si="26">AVERAGE(G29:G33)</f>
        <v>1.0207007647425796</v>
      </c>
      <c r="H34" s="1">
        <f t="shared" ref="H34" si="27">AVERAGE(H29:H33)</f>
        <v>1.4701367624856523</v>
      </c>
      <c r="I34" s="1">
        <f t="shared" ref="I34" si="28">AVERAGE(I29:I33)</f>
        <v>1.7970887235577599</v>
      </c>
      <c r="J34" s="1">
        <f t="shared" ref="J34" si="29">AVERAGE(J29:J33)</f>
        <v>1.629640118919498</v>
      </c>
      <c r="K34" s="1">
        <f t="shared" ref="K34" si="30">AVERAGE(K29:K33)</f>
        <v>1.283450722965189</v>
      </c>
    </row>
    <row r="35" spans="1:11" x14ac:dyDescent="0.25">
      <c r="A35" s="1" t="s">
        <v>7</v>
      </c>
      <c r="B35" s="1">
        <f>STDEV(B29:B33)</f>
        <v>0.19911654883388091</v>
      </c>
      <c r="C35" s="1">
        <f t="shared" ref="C35:K35" si="31">STDEV(C29:C33)</f>
        <v>0.22451851326616573</v>
      </c>
      <c r="D35" s="1">
        <f t="shared" si="31"/>
        <v>0.30031625492276309</v>
      </c>
      <c r="E35" s="1">
        <f t="shared" si="31"/>
        <v>1.0208132004799531</v>
      </c>
      <c r="F35" s="1">
        <f t="shared" si="31"/>
        <v>1.4679076002785114</v>
      </c>
      <c r="G35" s="1">
        <f t="shared" si="31"/>
        <v>0.62557364755061695</v>
      </c>
      <c r="H35" s="1">
        <f t="shared" si="31"/>
        <v>0.37662361301120939</v>
      </c>
      <c r="I35" s="1">
        <f t="shared" si="31"/>
        <v>0.34854785481125189</v>
      </c>
      <c r="J35" s="1">
        <f t="shared" si="31"/>
        <v>0.23423322882265088</v>
      </c>
      <c r="K35" s="1">
        <f t="shared" si="31"/>
        <v>0.2474083408753282</v>
      </c>
    </row>
    <row r="37" spans="1:11" x14ac:dyDescent="0.25">
      <c r="A37" s="1" t="s">
        <v>10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</row>
    <row r="38" spans="1:11" x14ac:dyDescent="0.25">
      <c r="A38" s="1" t="s">
        <v>0</v>
      </c>
      <c r="B38" s="1">
        <v>0.153175528385467</v>
      </c>
      <c r="C38" s="1">
        <v>0.28108276008382999</v>
      </c>
      <c r="D38" s="1">
        <v>0.366911720042505</v>
      </c>
      <c r="E38" s="1">
        <v>0.41700979396796201</v>
      </c>
      <c r="F38" s="1">
        <v>0.47803923453174102</v>
      </c>
      <c r="G38" s="1">
        <v>0.54410274806874703</v>
      </c>
      <c r="H38" s="1">
        <v>0.59584346096692298</v>
      </c>
      <c r="I38" s="1">
        <v>0.65337429772293498</v>
      </c>
      <c r="J38" s="1">
        <v>0.72875615950273798</v>
      </c>
      <c r="K38" s="1">
        <v>0.84309452439572796</v>
      </c>
    </row>
    <row r="39" spans="1:11" x14ac:dyDescent="0.25">
      <c r="A39" s="1" t="s">
        <v>1</v>
      </c>
      <c r="B39" s="1">
        <v>0.12568587423394101</v>
      </c>
      <c r="C39" s="1">
        <v>0.22860379078114901</v>
      </c>
      <c r="D39" s="1">
        <v>0.33874471096036601</v>
      </c>
      <c r="E39" s="1">
        <v>0.41376169631202903</v>
      </c>
      <c r="F39" s="1">
        <v>0.46588926076806703</v>
      </c>
      <c r="G39" s="1">
        <v>0.52919192641986501</v>
      </c>
      <c r="H39" s="1">
        <v>0.59266775540292205</v>
      </c>
      <c r="I39" s="1">
        <v>0.66608567393426998</v>
      </c>
      <c r="J39" s="1">
        <v>0.76490204906926995</v>
      </c>
      <c r="K39" s="1">
        <v>0.88255233070732697</v>
      </c>
    </row>
    <row r="40" spans="1:11" x14ac:dyDescent="0.25">
      <c r="A40" s="1" t="s">
        <v>2</v>
      </c>
      <c r="B40" s="1">
        <v>5.9827661086948702E-2</v>
      </c>
      <c r="C40" s="1">
        <v>0.14304753723371999</v>
      </c>
      <c r="D40" s="1">
        <v>0.25273682729501701</v>
      </c>
      <c r="E40" s="1">
        <v>0.34959695305747401</v>
      </c>
      <c r="F40" s="1">
        <v>0.44618823466719398</v>
      </c>
      <c r="G40" s="1">
        <v>0.548223414014268</v>
      </c>
      <c r="H40" s="1">
        <v>0.639548178898528</v>
      </c>
      <c r="I40" s="1">
        <v>0.730588408883176</v>
      </c>
      <c r="J40" s="1">
        <v>0.80831188140037602</v>
      </c>
      <c r="K40" s="1">
        <v>0.88099407913519501</v>
      </c>
    </row>
    <row r="41" spans="1:11" x14ac:dyDescent="0.25">
      <c r="A41" s="1" t="s">
        <v>3</v>
      </c>
      <c r="B41" s="1">
        <v>0.21000405138637299</v>
      </c>
      <c r="C41" s="1">
        <v>0.32029820800918202</v>
      </c>
      <c r="D41" s="1">
        <v>0.37979858957759199</v>
      </c>
      <c r="E41" s="1">
        <v>0.420608245154656</v>
      </c>
      <c r="F41" s="1">
        <v>0.455092151007922</v>
      </c>
      <c r="G41" s="1">
        <v>0.48754661261881299</v>
      </c>
      <c r="H41" s="1">
        <v>0.52215979768103404</v>
      </c>
      <c r="I41" s="1">
        <v>0.56298233322148905</v>
      </c>
      <c r="J41" s="1">
        <v>0.61256431654579901</v>
      </c>
      <c r="K41" s="1">
        <v>0.71397572037299795</v>
      </c>
    </row>
    <row r="42" spans="1:11" x14ac:dyDescent="0.25">
      <c r="A42" s="1" t="s">
        <v>4</v>
      </c>
      <c r="B42" s="1">
        <v>7.3893634832736504E-2</v>
      </c>
      <c r="C42" s="1">
        <v>0.16277873360707901</v>
      </c>
      <c r="D42" s="1">
        <v>0.25034911217318001</v>
      </c>
      <c r="E42" s="1">
        <v>0.31273891793744302</v>
      </c>
      <c r="F42" s="1">
        <v>0.36002912245818303</v>
      </c>
      <c r="G42" s="1">
        <v>0.39582735974739602</v>
      </c>
      <c r="H42" s="1">
        <v>0.434059717227262</v>
      </c>
      <c r="I42" s="1">
        <v>0.48744707516725699</v>
      </c>
      <c r="J42" s="1">
        <v>0.55446587523560398</v>
      </c>
      <c r="K42" s="1">
        <v>0.67024640162504201</v>
      </c>
    </row>
    <row r="43" spans="1:11" x14ac:dyDescent="0.25">
      <c r="A43" s="1" t="s">
        <v>6</v>
      </c>
      <c r="B43" s="1">
        <f>AVERAGE(B38:B42)</f>
        <v>0.12451734998509323</v>
      </c>
      <c r="C43" s="1">
        <f t="shared" ref="C43:K43" si="32">AVERAGE(C38:C42)</f>
        <v>0.227162205942992</v>
      </c>
      <c r="D43" s="1">
        <f t="shared" si="32"/>
        <v>0.31770819200973199</v>
      </c>
      <c r="E43" s="1">
        <f t="shared" si="32"/>
        <v>0.38274312128591281</v>
      </c>
      <c r="F43" s="1">
        <f t="shared" si="32"/>
        <v>0.44104760068662141</v>
      </c>
      <c r="G43" s="1">
        <f t="shared" si="32"/>
        <v>0.50097841217381789</v>
      </c>
      <c r="H43" s="1">
        <f t="shared" si="32"/>
        <v>0.55685578203533381</v>
      </c>
      <c r="I43" s="1">
        <f t="shared" si="32"/>
        <v>0.62009555778582537</v>
      </c>
      <c r="J43" s="1">
        <f t="shared" si="32"/>
        <v>0.69380005635075748</v>
      </c>
      <c r="K43" s="1">
        <f t="shared" si="32"/>
        <v>0.79817261124725802</v>
      </c>
    </row>
    <row r="44" spans="1:11" x14ac:dyDescent="0.25">
      <c r="A44" s="1" t="s">
        <v>7</v>
      </c>
      <c r="B44" s="1">
        <f>STDEV(B38:B42)</f>
        <v>6.0988009354677769E-2</v>
      </c>
      <c r="C44" s="1">
        <f t="shared" ref="C44:K44" si="33">STDEV(C38:C42)</f>
        <v>7.5505510078195351E-2</v>
      </c>
      <c r="D44" s="1">
        <f t="shared" si="33"/>
        <v>6.2203825525217221E-2</v>
      </c>
      <c r="E44" s="1">
        <f t="shared" si="33"/>
        <v>4.8911607552876726E-2</v>
      </c>
      <c r="F44" s="1">
        <f t="shared" si="33"/>
        <v>4.6832569799326609E-2</v>
      </c>
      <c r="G44" s="1">
        <f t="shared" si="33"/>
        <v>6.3492042802749296E-2</v>
      </c>
      <c r="H44" s="1">
        <f t="shared" si="33"/>
        <v>8.0503499778884879E-2</v>
      </c>
      <c r="I44" s="1">
        <f t="shared" si="33"/>
        <v>9.5248065360819756E-2</v>
      </c>
      <c r="J44" s="1">
        <f t="shared" si="33"/>
        <v>0.10654064956742887</v>
      </c>
      <c r="K44" s="1">
        <f t="shared" si="33"/>
        <v>9.9312061731430326E-2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2025-04-13T13:59:25Z</dcterms:modified>
</cp:coreProperties>
</file>