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an05\writing\submit20251110\Figure\Figure5\"/>
    </mc:Choice>
  </mc:AlternateContent>
  <xr:revisionPtr revIDLastSave="0" documentId="13_ncr:1_{1541E78D-77F8-4FB6-BB41-A9E05A697276}" xr6:coauthVersionLast="47" xr6:coauthVersionMax="47" xr10:uidLastSave="{00000000-0000-0000-0000-000000000000}"/>
  <bookViews>
    <workbookView xWindow="9510" yWindow="30" windowWidth="19200" windowHeight="15855" xr2:uid="{00000000-000D-0000-FFFF-FFFF00000000}"/>
  </bookViews>
  <sheets>
    <sheet name="NEP" sheetId="1" r:id="rId1"/>
    <sheet name="Uncertaint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2" l="1"/>
  <c r="C52" i="1" l="1"/>
  <c r="D52" i="1"/>
  <c r="E52" i="1"/>
  <c r="F52" i="1"/>
  <c r="G52" i="1"/>
  <c r="H52" i="1"/>
  <c r="I52" i="1"/>
  <c r="J52" i="1"/>
  <c r="K52" i="1"/>
  <c r="L52" i="1"/>
  <c r="M52" i="1"/>
  <c r="N52" i="1"/>
  <c r="B52" i="1"/>
  <c r="C26" i="2"/>
  <c r="D26" i="2"/>
  <c r="E26" i="2"/>
  <c r="F26" i="2"/>
  <c r="G26" i="2"/>
  <c r="H26" i="2"/>
  <c r="I26" i="2"/>
  <c r="J26" i="2"/>
  <c r="K26" i="2"/>
  <c r="L26" i="2"/>
  <c r="M26" i="2"/>
  <c r="N26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" i="2"/>
  <c r="J44" i="1" l="1"/>
  <c r="N44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5" i="1"/>
  <c r="N46" i="1"/>
  <c r="N47" i="1"/>
  <c r="N48" i="1"/>
  <c r="N49" i="1"/>
  <c r="N50" i="1"/>
  <c r="N51" i="1"/>
  <c r="N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C28" i="1"/>
  <c r="D28" i="1"/>
  <c r="E28" i="1"/>
  <c r="F28" i="1"/>
  <c r="G28" i="1"/>
  <c r="H28" i="1"/>
  <c r="I28" i="1"/>
  <c r="J28" i="1"/>
  <c r="K28" i="1"/>
  <c r="L28" i="1"/>
  <c r="M28" i="1"/>
  <c r="B2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</calcChain>
</file>

<file path=xl/sharedStrings.xml><?xml version="1.0" encoding="utf-8"?>
<sst xmlns="http://schemas.openxmlformats.org/spreadsheetml/2006/main" count="8" uniqueCount="5">
  <si>
    <r>
      <t>Global NEP(gC month</t>
    </r>
    <r>
      <rPr>
        <vertAlign val="superscript"/>
        <sz val="14"/>
        <color theme="1"/>
        <rFont val="Calibri"/>
        <family val="2"/>
      </rPr>
      <t>-1</t>
    </r>
    <r>
      <rPr>
        <sz val="14"/>
        <color theme="1"/>
        <rFont val="Calibri"/>
        <family val="2"/>
      </rPr>
      <t>)</t>
    </r>
    <phoneticPr fontId="1" type="noConversion"/>
  </si>
  <si>
    <t>SUM</t>
    <phoneticPr fontId="1" type="noConversion"/>
  </si>
  <si>
    <r>
      <t>Global NEP(PgC month</t>
    </r>
    <r>
      <rPr>
        <vertAlign val="superscript"/>
        <sz val="14"/>
        <color theme="1"/>
        <rFont val="Calibri"/>
        <family val="2"/>
      </rPr>
      <t>-1</t>
    </r>
    <r>
      <rPr>
        <sz val="14"/>
        <color theme="1"/>
        <rFont val="Calibri"/>
        <family val="2"/>
      </rPr>
      <t>)</t>
    </r>
    <phoneticPr fontId="1" type="noConversion"/>
  </si>
  <si>
    <t>Uncertainty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</si>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</sst>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vertAlign val="superscript"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topLeftCell="A27" workbookViewId="0">
      <selection activeCell="C46" sqref="C46"/>
    </sheetView>
  </sheetViews>
  <sheetFormatPr defaultRowHeight="18.75" x14ac:dyDescent="0.3"/>
  <cols>
    <col min="1" max="1" width="26" style="3" customWidth="1"/>
    <col min="2" max="5" width="15.75" style="3" bestFit="1" customWidth="1"/>
    <col min="6" max="9" width="10.875" style="3" bestFit="1" customWidth="1"/>
    <col min="10" max="11" width="15.75" style="3" bestFit="1" customWidth="1"/>
    <col min="12" max="12" width="16.625" style="3" bestFit="1" customWidth="1"/>
    <col min="13" max="13" width="15.75" style="3" bestFit="1" customWidth="1"/>
    <col min="14" max="14" width="15.75" style="1" bestFit="1" customWidth="1"/>
    <col min="15" max="15" width="13.125" customWidth="1"/>
  </cols>
  <sheetData>
    <row r="1" spans="1:14" ht="2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 t="s">
        <v>1</v>
      </c>
    </row>
    <row r="2" spans="1:14" x14ac:dyDescent="0.3">
      <c r="A2" s="1">
        <v>2001</v>
      </c>
      <c r="B2" s="1">
        <v>386013109919581</v>
      </c>
      <c r="C2" s="1">
        <v>387019050954856</v>
      </c>
      <c r="D2" s="1">
        <v>625324130523953</v>
      </c>
      <c r="E2" s="1">
        <v>754756189504751</v>
      </c>
      <c r="F2" s="2">
        <v>1214134105135830</v>
      </c>
      <c r="G2" s="2">
        <v>1539219748558350</v>
      </c>
      <c r="H2" s="2">
        <v>2182691886841620</v>
      </c>
      <c r="I2" s="2">
        <v>1830031558181960</v>
      </c>
      <c r="J2" s="1">
        <v>764263906671321</v>
      </c>
      <c r="K2" s="1">
        <v>340129348232093</v>
      </c>
      <c r="L2" s="1">
        <v>63198101697345.102</v>
      </c>
      <c r="M2" s="1">
        <v>281353024003350</v>
      </c>
      <c r="N2" s="1">
        <f>SUM(B2:M2)</f>
        <v>1.0368134160225012E+16</v>
      </c>
    </row>
    <row r="3" spans="1:14" x14ac:dyDescent="0.3">
      <c r="A3" s="1">
        <v>2002</v>
      </c>
      <c r="B3" s="1">
        <v>463420085541194</v>
      </c>
      <c r="C3" s="1">
        <v>423032662767640</v>
      </c>
      <c r="D3" s="1">
        <v>593788889856691</v>
      </c>
      <c r="E3" s="1">
        <v>759859069364163</v>
      </c>
      <c r="F3" s="2">
        <v>1276288102793590</v>
      </c>
      <c r="G3" s="2">
        <v>1913209829966440</v>
      </c>
      <c r="H3" s="2">
        <v>2206019169733850</v>
      </c>
      <c r="I3" s="2">
        <v>1841011533624990</v>
      </c>
      <c r="J3" s="1">
        <v>844012522958484</v>
      </c>
      <c r="K3" s="1">
        <v>274299590204972</v>
      </c>
      <c r="L3" s="1">
        <v>173687232848807</v>
      </c>
      <c r="M3" s="1">
        <v>230787645678635</v>
      </c>
      <c r="N3" s="1">
        <f t="shared" ref="N3:N25" si="0">SUM(B3:M3)</f>
        <v>1.0999416335339456E+16</v>
      </c>
    </row>
    <row r="4" spans="1:14" x14ac:dyDescent="0.3">
      <c r="A4" s="1">
        <v>2003</v>
      </c>
      <c r="B4" s="1">
        <v>453620964782903</v>
      </c>
      <c r="C4" s="1">
        <v>461481636922945</v>
      </c>
      <c r="D4" s="1">
        <v>635459541126041</v>
      </c>
      <c r="E4" s="1">
        <v>695902329297339</v>
      </c>
      <c r="F4" s="2">
        <v>1214161550429130</v>
      </c>
      <c r="G4" s="2">
        <v>1898530083320510</v>
      </c>
      <c r="H4" s="2">
        <v>2349272922100300</v>
      </c>
      <c r="I4" s="2">
        <v>1820052095451390</v>
      </c>
      <c r="J4" s="1">
        <v>822798827114208</v>
      </c>
      <c r="K4" s="1">
        <v>308806163541792</v>
      </c>
      <c r="L4" s="1">
        <v>133274278095605</v>
      </c>
      <c r="M4" s="1">
        <v>183937366178012</v>
      </c>
      <c r="N4" s="1">
        <f t="shared" si="0"/>
        <v>1.0977297758360176E+16</v>
      </c>
    </row>
    <row r="5" spans="1:14" x14ac:dyDescent="0.3">
      <c r="A5" s="1">
        <v>2004</v>
      </c>
      <c r="B5" s="1">
        <v>374363687622215</v>
      </c>
      <c r="C5" s="1">
        <v>484016534634203</v>
      </c>
      <c r="D5" s="1">
        <v>649880471998343</v>
      </c>
      <c r="E5" s="1">
        <v>770305872168948</v>
      </c>
      <c r="F5" s="2">
        <v>1223748943388670</v>
      </c>
      <c r="G5" s="2">
        <v>1969783934224690</v>
      </c>
      <c r="H5" s="2">
        <v>2365554892034060</v>
      </c>
      <c r="I5" s="2">
        <v>1975448384690290</v>
      </c>
      <c r="J5" s="1">
        <v>876139388410555</v>
      </c>
      <c r="K5" s="1">
        <v>194663674887808</v>
      </c>
      <c r="L5" s="1">
        <v>-11394063547200.801</v>
      </c>
      <c r="M5" s="1">
        <v>312485897202994</v>
      </c>
      <c r="N5" s="1">
        <f t="shared" si="0"/>
        <v>1.1184997617715578E+16</v>
      </c>
    </row>
    <row r="6" spans="1:14" x14ac:dyDescent="0.3">
      <c r="A6" s="1">
        <v>2005</v>
      </c>
      <c r="B6" s="1">
        <v>495564015607848</v>
      </c>
      <c r="C6" s="1">
        <v>517790298869430</v>
      </c>
      <c r="D6" s="1">
        <v>623173818474327</v>
      </c>
      <c r="E6" s="1">
        <v>715099485324334</v>
      </c>
      <c r="F6" s="2">
        <v>1314454719143770</v>
      </c>
      <c r="G6" s="2">
        <v>2082445572823700</v>
      </c>
      <c r="H6" s="2">
        <v>2383595339720520</v>
      </c>
      <c r="I6" s="2">
        <v>1954125643171280</v>
      </c>
      <c r="J6" s="1">
        <v>926519229880141</v>
      </c>
      <c r="K6" s="1">
        <v>298850830631005</v>
      </c>
      <c r="L6" s="1">
        <v>41188629988771.898</v>
      </c>
      <c r="M6" s="1">
        <v>229801913118631</v>
      </c>
      <c r="N6" s="1">
        <f t="shared" si="0"/>
        <v>1.1582609496753756E+16</v>
      </c>
    </row>
    <row r="7" spans="1:14" x14ac:dyDescent="0.3">
      <c r="A7" s="1">
        <v>2006</v>
      </c>
      <c r="B7" s="1">
        <v>398255943428789</v>
      </c>
      <c r="C7" s="1">
        <v>458376225844579</v>
      </c>
      <c r="D7" s="1">
        <v>684093356382832</v>
      </c>
      <c r="E7" s="1">
        <v>789604399337882</v>
      </c>
      <c r="F7" s="2">
        <v>1304463692871040</v>
      </c>
      <c r="G7" s="2">
        <v>2051792065881730</v>
      </c>
      <c r="H7" s="2">
        <v>2274683635962950</v>
      </c>
      <c r="I7" s="2">
        <v>1980099605861370</v>
      </c>
      <c r="J7" s="1">
        <v>934172633910842</v>
      </c>
      <c r="K7" s="1">
        <v>339484545925319</v>
      </c>
      <c r="L7" s="1">
        <v>141350894767371</v>
      </c>
      <c r="M7" s="1">
        <v>221458032326759</v>
      </c>
      <c r="N7" s="1">
        <f t="shared" si="0"/>
        <v>1.1577835032501464E+16</v>
      </c>
    </row>
    <row r="8" spans="1:14" x14ac:dyDescent="0.3">
      <c r="A8" s="1">
        <v>2007</v>
      </c>
      <c r="B8" s="1">
        <v>408693714248864</v>
      </c>
      <c r="C8" s="1">
        <v>512041181813394</v>
      </c>
      <c r="D8" s="1">
        <v>757311287210616</v>
      </c>
      <c r="E8" s="1">
        <v>825905751802165</v>
      </c>
      <c r="F8" s="2">
        <v>1385702378409210</v>
      </c>
      <c r="G8" s="2">
        <v>2009278270942110</v>
      </c>
      <c r="H8" s="2">
        <v>2312958338664400</v>
      </c>
      <c r="I8" s="2">
        <v>1924464863242570</v>
      </c>
      <c r="J8" s="1">
        <v>872926611310314</v>
      </c>
      <c r="K8" s="1">
        <v>247255420949668</v>
      </c>
      <c r="L8" s="1">
        <v>113664742687308</v>
      </c>
      <c r="M8" s="1">
        <v>292210913092548</v>
      </c>
      <c r="N8" s="1">
        <f t="shared" si="0"/>
        <v>1.1662413474373166E+16</v>
      </c>
    </row>
    <row r="9" spans="1:14" x14ac:dyDescent="0.3">
      <c r="A9" s="1">
        <v>2008</v>
      </c>
      <c r="B9" s="1">
        <v>398553277566032</v>
      </c>
      <c r="C9" s="1">
        <v>565495940378713</v>
      </c>
      <c r="D9" s="1">
        <v>656574205441409</v>
      </c>
      <c r="E9" s="1">
        <v>852614899287076</v>
      </c>
      <c r="F9" s="2">
        <v>1333270975935700</v>
      </c>
      <c r="G9" s="2">
        <v>1933740100620750</v>
      </c>
      <c r="H9" s="2">
        <v>2346866653627790</v>
      </c>
      <c r="I9" s="2">
        <v>1994436702657340</v>
      </c>
      <c r="J9" s="1">
        <v>877850695467623</v>
      </c>
      <c r="K9" s="1">
        <v>231917630519621</v>
      </c>
      <c r="L9" s="1">
        <v>-75757218401534.797</v>
      </c>
      <c r="M9" s="1">
        <v>199907382108599</v>
      </c>
      <c r="N9" s="1">
        <f t="shared" si="0"/>
        <v>1.1315471245209116E+16</v>
      </c>
    </row>
    <row r="10" spans="1:14" x14ac:dyDescent="0.3">
      <c r="A10" s="1">
        <v>2009</v>
      </c>
      <c r="B10" s="1">
        <v>425445719997546</v>
      </c>
      <c r="C10" s="1">
        <v>470905350884177</v>
      </c>
      <c r="D10" s="1">
        <v>681094800049404</v>
      </c>
      <c r="E10" s="1">
        <v>781285727068440</v>
      </c>
      <c r="F10" s="2">
        <v>1358271961393330</v>
      </c>
      <c r="G10" s="2">
        <v>1928315044514180</v>
      </c>
      <c r="H10" s="2">
        <v>2346229153292780</v>
      </c>
      <c r="I10" s="2">
        <v>2066425896778700</v>
      </c>
      <c r="J10" s="2">
        <v>1011541388910210</v>
      </c>
      <c r="K10" s="1">
        <v>383817595441328</v>
      </c>
      <c r="L10" s="1">
        <v>187222918200241</v>
      </c>
      <c r="M10" s="1">
        <v>267373031325831</v>
      </c>
      <c r="N10" s="1">
        <f t="shared" si="0"/>
        <v>1.1907928587856168E+16</v>
      </c>
    </row>
    <row r="11" spans="1:14" x14ac:dyDescent="0.3">
      <c r="A11" s="1">
        <v>2010</v>
      </c>
      <c r="B11" s="1">
        <v>526755886359848</v>
      </c>
      <c r="C11" s="1">
        <v>487368511266026</v>
      </c>
      <c r="D11" s="1">
        <v>797296022132757</v>
      </c>
      <c r="E11" s="1">
        <v>851848310962650</v>
      </c>
      <c r="F11" s="2">
        <v>1380181064726350</v>
      </c>
      <c r="G11" s="2">
        <v>2059386564689180</v>
      </c>
      <c r="H11" s="2">
        <v>2312764319849760</v>
      </c>
      <c r="I11" s="2">
        <v>1956987205018560</v>
      </c>
      <c r="J11" s="1">
        <v>944187570258726</v>
      </c>
      <c r="K11" s="1">
        <v>355937733882085</v>
      </c>
      <c r="L11" s="1">
        <v>45523846306997.398</v>
      </c>
      <c r="M11" s="1">
        <v>371124246294443</v>
      </c>
      <c r="N11" s="1">
        <f t="shared" si="0"/>
        <v>1.2089361281747384E+16</v>
      </c>
    </row>
    <row r="12" spans="1:14" x14ac:dyDescent="0.3">
      <c r="A12" s="1">
        <v>2011</v>
      </c>
      <c r="B12" s="1">
        <v>596661990860901</v>
      </c>
      <c r="C12" s="1">
        <v>532031184391244</v>
      </c>
      <c r="D12" s="1">
        <v>718128402309032</v>
      </c>
      <c r="E12" s="1">
        <v>853139701229473</v>
      </c>
      <c r="F12" s="2">
        <v>1440145196672300</v>
      </c>
      <c r="G12" s="2">
        <v>2047131878497050</v>
      </c>
      <c r="H12" s="2">
        <v>2479348621418990</v>
      </c>
      <c r="I12" s="2">
        <v>2107491232209750</v>
      </c>
      <c r="J12" s="1">
        <v>938755178748918</v>
      </c>
      <c r="K12" s="1">
        <v>308181550161885</v>
      </c>
      <c r="L12" s="1">
        <v>151950843761741</v>
      </c>
      <c r="M12" s="1">
        <v>334927937101142</v>
      </c>
      <c r="N12" s="1">
        <f t="shared" si="0"/>
        <v>1.2507893717362426E+16</v>
      </c>
    </row>
    <row r="13" spans="1:14" x14ac:dyDescent="0.3">
      <c r="A13" s="1">
        <v>2012</v>
      </c>
      <c r="B13" s="1">
        <v>386793213340258</v>
      </c>
      <c r="C13" s="1">
        <v>533037985865860</v>
      </c>
      <c r="D13" s="1">
        <v>704913029495451</v>
      </c>
      <c r="E13" s="1">
        <v>800580422684653</v>
      </c>
      <c r="F13" s="2">
        <v>1403335030667420</v>
      </c>
      <c r="G13" s="2">
        <v>2045697769676900</v>
      </c>
      <c r="H13" s="2">
        <v>2241243392642670</v>
      </c>
      <c r="I13" s="2">
        <v>1963464840996480</v>
      </c>
      <c r="J13" s="1">
        <v>975988565328349</v>
      </c>
      <c r="K13" s="1">
        <v>326696764719218</v>
      </c>
      <c r="L13" s="1">
        <v>102899972808674</v>
      </c>
      <c r="M13" s="1">
        <v>351448644214285</v>
      </c>
      <c r="N13" s="1">
        <f t="shared" si="0"/>
        <v>1.1836099632440216E+16</v>
      </c>
    </row>
    <row r="14" spans="1:14" x14ac:dyDescent="0.3">
      <c r="A14" s="1">
        <v>2013</v>
      </c>
      <c r="B14" s="1">
        <v>386949949240439</v>
      </c>
      <c r="C14" s="1">
        <v>418664648804676</v>
      </c>
      <c r="D14" s="1">
        <v>742569188623097</v>
      </c>
      <c r="E14" s="1">
        <v>820872750522787</v>
      </c>
      <c r="F14" s="2">
        <v>1378096891078890</v>
      </c>
      <c r="G14" s="2">
        <v>2110920501968870</v>
      </c>
      <c r="H14" s="2">
        <v>2458694836115560</v>
      </c>
      <c r="I14" s="2">
        <v>2032656709046950</v>
      </c>
      <c r="J14" s="1">
        <v>952567231719331</v>
      </c>
      <c r="K14" s="1">
        <v>431558079626661</v>
      </c>
      <c r="L14" s="1">
        <v>86783354046871.703</v>
      </c>
      <c r="M14" s="1">
        <v>349839999516535</v>
      </c>
      <c r="N14" s="1">
        <f t="shared" si="0"/>
        <v>1.2170174140310668E+16</v>
      </c>
    </row>
    <row r="15" spans="1:14" x14ac:dyDescent="0.3">
      <c r="A15" s="1">
        <v>2014</v>
      </c>
      <c r="B15" s="1">
        <v>457997551857760</v>
      </c>
      <c r="C15" s="1">
        <v>454612453239372</v>
      </c>
      <c r="D15" s="1">
        <v>799885903402427</v>
      </c>
      <c r="E15" s="1">
        <v>927486426633776</v>
      </c>
      <c r="F15" s="2">
        <v>1441088812611740</v>
      </c>
      <c r="G15" s="2">
        <v>2075436393021430</v>
      </c>
      <c r="H15" s="2">
        <v>2437149291881480</v>
      </c>
      <c r="I15" s="2">
        <v>2050484751156740</v>
      </c>
      <c r="J15" s="2">
        <v>1023904393604620</v>
      </c>
      <c r="K15" s="1">
        <v>356534943044665</v>
      </c>
      <c r="L15" s="1">
        <v>143352747500202</v>
      </c>
      <c r="M15" s="1">
        <v>291305539105772</v>
      </c>
      <c r="N15" s="1">
        <f t="shared" si="0"/>
        <v>1.2459239207059982E+16</v>
      </c>
    </row>
    <row r="16" spans="1:14" x14ac:dyDescent="0.3">
      <c r="A16" s="1">
        <v>2015</v>
      </c>
      <c r="B16" s="1">
        <v>480235436694400</v>
      </c>
      <c r="C16" s="1">
        <v>442142505773498</v>
      </c>
      <c r="D16" s="1">
        <v>633857076438447</v>
      </c>
      <c r="E16" s="1">
        <v>862990392242864</v>
      </c>
      <c r="F16" s="2">
        <v>1560355504204070</v>
      </c>
      <c r="G16" s="2">
        <v>2213979504035780</v>
      </c>
      <c r="H16" s="2">
        <v>2451985416550330</v>
      </c>
      <c r="I16" s="2">
        <v>2058219040343030</v>
      </c>
      <c r="J16" s="2">
        <v>1010306514251020</v>
      </c>
      <c r="K16" s="1">
        <v>359511208898840</v>
      </c>
      <c r="L16" s="1">
        <v>104537747020815</v>
      </c>
      <c r="M16" s="1">
        <v>270085557682349</v>
      </c>
      <c r="N16" s="1">
        <f t="shared" si="0"/>
        <v>1.2448205904135444E+16</v>
      </c>
    </row>
    <row r="17" spans="1:15" x14ac:dyDescent="0.3">
      <c r="A17" s="1">
        <v>2016</v>
      </c>
      <c r="B17" s="1">
        <v>475508060385089</v>
      </c>
      <c r="C17" s="1">
        <v>432389684908580</v>
      </c>
      <c r="D17" s="1">
        <v>631432112233520</v>
      </c>
      <c r="E17" s="1">
        <v>894407910564094</v>
      </c>
      <c r="F17" s="2">
        <v>1576200024335180</v>
      </c>
      <c r="G17" s="2">
        <v>2211042342182970</v>
      </c>
      <c r="H17" s="2">
        <v>2523821393761740</v>
      </c>
      <c r="I17" s="2">
        <v>2189278720357280</v>
      </c>
      <c r="J17" s="1">
        <v>945894749231981</v>
      </c>
      <c r="K17" s="1">
        <v>373018246347189</v>
      </c>
      <c r="L17" s="1">
        <v>153962006413545</v>
      </c>
      <c r="M17" s="1">
        <v>304802143356726</v>
      </c>
      <c r="N17" s="1">
        <f t="shared" si="0"/>
        <v>1.271175739407789E+16</v>
      </c>
    </row>
    <row r="18" spans="1:15" x14ac:dyDescent="0.3">
      <c r="A18" s="1">
        <v>2017</v>
      </c>
      <c r="B18" s="1">
        <v>501920944801950</v>
      </c>
      <c r="C18" s="1">
        <v>487142293964750</v>
      </c>
      <c r="D18" s="1">
        <v>757157137292039</v>
      </c>
      <c r="E18" s="1">
        <v>920729887944265</v>
      </c>
      <c r="F18" s="2">
        <v>1516363615151590</v>
      </c>
      <c r="G18" s="2">
        <v>2152959476473510</v>
      </c>
      <c r="H18" s="2">
        <v>2627659848655230</v>
      </c>
      <c r="I18" s="2">
        <v>2156521783510370</v>
      </c>
      <c r="J18" s="1">
        <v>912421464504364</v>
      </c>
      <c r="K18" s="1">
        <v>340668559476524</v>
      </c>
      <c r="L18" s="1">
        <v>180670337056647</v>
      </c>
      <c r="M18" s="1">
        <v>286114577248337</v>
      </c>
      <c r="N18" s="1">
        <f t="shared" si="0"/>
        <v>1.2840329926079576E+16</v>
      </c>
    </row>
    <row r="19" spans="1:15" x14ac:dyDescent="0.3">
      <c r="A19" s="1">
        <v>2018</v>
      </c>
      <c r="B19" s="1">
        <v>413927161969595</v>
      </c>
      <c r="C19" s="1">
        <v>480167415784904</v>
      </c>
      <c r="D19" s="1">
        <v>771561001605088</v>
      </c>
      <c r="E19" s="1">
        <v>925016893036873</v>
      </c>
      <c r="F19" s="2">
        <v>1405746557235570</v>
      </c>
      <c r="G19" s="2">
        <v>2098404363025880</v>
      </c>
      <c r="H19" s="2">
        <v>2477408877747250</v>
      </c>
      <c r="I19" s="2">
        <v>2014928134591460</v>
      </c>
      <c r="J19" s="1">
        <v>989826107950940</v>
      </c>
      <c r="K19" s="1">
        <v>405767025730696</v>
      </c>
      <c r="L19" s="1">
        <v>124829496530388</v>
      </c>
      <c r="M19" s="1">
        <v>320094707386290</v>
      </c>
      <c r="N19" s="1">
        <f t="shared" si="0"/>
        <v>1.2427677742594934E+16</v>
      </c>
    </row>
    <row r="20" spans="1:15" x14ac:dyDescent="0.3">
      <c r="A20" s="1">
        <v>2019</v>
      </c>
      <c r="B20" s="1">
        <v>544474946513500</v>
      </c>
      <c r="C20" s="1">
        <v>541367066694770</v>
      </c>
      <c r="D20" s="1">
        <v>739696489667515</v>
      </c>
      <c r="E20" s="1">
        <v>951688481031690</v>
      </c>
      <c r="F20" s="2">
        <v>1509770257473110</v>
      </c>
      <c r="G20" s="2">
        <v>2144737536800260</v>
      </c>
      <c r="H20" s="2">
        <v>2476825395686400</v>
      </c>
      <c r="I20" s="2">
        <v>2119895609952130</v>
      </c>
      <c r="J20" s="2">
        <v>1089202629127960</v>
      </c>
      <c r="K20" s="1">
        <v>381264584235834</v>
      </c>
      <c r="L20" s="1">
        <v>215319812640186</v>
      </c>
      <c r="M20" s="1">
        <v>306139124133742</v>
      </c>
      <c r="N20" s="1">
        <f t="shared" si="0"/>
        <v>1.3020381933957098E+16</v>
      </c>
    </row>
    <row r="21" spans="1:15" x14ac:dyDescent="0.3">
      <c r="A21" s="1">
        <v>2020</v>
      </c>
      <c r="B21" s="1">
        <v>602505193133928</v>
      </c>
      <c r="C21" s="1">
        <v>638956191234515</v>
      </c>
      <c r="D21" s="1">
        <v>848035594020964</v>
      </c>
      <c r="E21" s="2">
        <v>1056220122950450</v>
      </c>
      <c r="F21" s="2">
        <v>1554079641458640</v>
      </c>
      <c r="G21" s="2">
        <v>2189616649492270</v>
      </c>
      <c r="H21" s="2">
        <v>2622540207036730</v>
      </c>
      <c r="I21" s="2">
        <v>2208401191972110</v>
      </c>
      <c r="J21" s="2">
        <v>1045134493966060</v>
      </c>
      <c r="K21" s="1">
        <v>298939961906534</v>
      </c>
      <c r="L21" s="1">
        <v>68537827040480.297</v>
      </c>
      <c r="M21" s="1">
        <v>366247961386174</v>
      </c>
      <c r="N21" s="1">
        <f t="shared" si="0"/>
        <v>1.3499215035598854E+16</v>
      </c>
    </row>
    <row r="22" spans="1:15" x14ac:dyDescent="0.3">
      <c r="A22" s="1">
        <v>2021</v>
      </c>
      <c r="B22" s="1">
        <v>575419451752109</v>
      </c>
      <c r="C22" s="1">
        <v>627809151922424</v>
      </c>
      <c r="D22" s="1">
        <v>768598716224583</v>
      </c>
      <c r="E22" s="1">
        <v>956658746497495</v>
      </c>
      <c r="F22" s="2">
        <v>1571122381408140</v>
      </c>
      <c r="G22" s="2">
        <v>2251958046916380</v>
      </c>
      <c r="H22" s="2">
        <v>2621143409276570</v>
      </c>
      <c r="I22" s="2">
        <v>2146992937605830</v>
      </c>
      <c r="J22" s="2">
        <v>1086173644920270</v>
      </c>
      <c r="K22" s="1">
        <v>441827474665674</v>
      </c>
      <c r="L22" s="1">
        <v>112768227847144</v>
      </c>
      <c r="M22" s="1">
        <v>248104972429128</v>
      </c>
      <c r="N22" s="1">
        <f t="shared" si="0"/>
        <v>1.3408577161465746E+16</v>
      </c>
    </row>
    <row r="23" spans="1:15" x14ac:dyDescent="0.3">
      <c r="A23" s="1">
        <v>2022</v>
      </c>
      <c r="B23" s="1">
        <v>580971528612742</v>
      </c>
      <c r="C23" s="1">
        <v>526413846899438</v>
      </c>
      <c r="D23" s="1">
        <v>778563251171512</v>
      </c>
      <c r="E23" s="1">
        <v>952709346737819</v>
      </c>
      <c r="F23" s="2">
        <v>1468432547725540</v>
      </c>
      <c r="G23" s="2">
        <v>2208924775906530</v>
      </c>
      <c r="H23" s="2">
        <v>2589140488273090</v>
      </c>
      <c r="I23" s="2">
        <v>2244295457410130</v>
      </c>
      <c r="J23" s="2">
        <v>1053749400294600</v>
      </c>
      <c r="K23" s="1">
        <v>232701815364344</v>
      </c>
      <c r="L23" s="1">
        <v>225004732736064</v>
      </c>
      <c r="M23" s="1">
        <v>408948897413608</v>
      </c>
      <c r="N23" s="1">
        <f t="shared" si="0"/>
        <v>1.3269856088545418E+16</v>
      </c>
    </row>
    <row r="24" spans="1:15" x14ac:dyDescent="0.3">
      <c r="A24" s="1">
        <v>2023</v>
      </c>
      <c r="B24" s="1">
        <v>558356972967304</v>
      </c>
      <c r="C24" s="1">
        <v>602734605166957</v>
      </c>
      <c r="D24" s="1">
        <v>751803898513518</v>
      </c>
      <c r="E24" s="2">
        <v>1079010113927970</v>
      </c>
      <c r="F24" s="2">
        <v>1656749774550160</v>
      </c>
      <c r="G24" s="2">
        <v>2271800920026380</v>
      </c>
      <c r="H24" s="2">
        <v>2630208042976740</v>
      </c>
      <c r="I24" s="2">
        <v>2241989372119070</v>
      </c>
      <c r="J24" s="2">
        <v>1135053686266360</v>
      </c>
      <c r="K24" s="1">
        <v>393430084569697</v>
      </c>
      <c r="L24" s="1">
        <v>85283734741438.297</v>
      </c>
      <c r="M24" s="1">
        <v>338743755300659</v>
      </c>
      <c r="N24" s="1">
        <f t="shared" si="0"/>
        <v>1.3745164961126252E+16</v>
      </c>
    </row>
    <row r="25" spans="1:15" x14ac:dyDescent="0.3">
      <c r="A25" s="1">
        <v>2024</v>
      </c>
      <c r="B25" s="1">
        <v>639400633822560</v>
      </c>
      <c r="C25" s="1">
        <v>659863220489875</v>
      </c>
      <c r="D25" s="1">
        <v>911141580245852</v>
      </c>
      <c r="E25" s="2">
        <v>1116397009614180</v>
      </c>
      <c r="F25" s="2">
        <v>1589888220675100</v>
      </c>
      <c r="G25" s="2">
        <v>2173895449634220</v>
      </c>
      <c r="H25" s="2">
        <v>2576667480975770</v>
      </c>
      <c r="I25" s="2">
        <v>2298735151687820</v>
      </c>
      <c r="J25" s="2">
        <v>1248917794388530</v>
      </c>
      <c r="K25" s="1">
        <v>463758061439594</v>
      </c>
      <c r="L25" s="1">
        <v>163231289750994</v>
      </c>
      <c r="M25" s="1">
        <v>426311686645148</v>
      </c>
      <c r="N25" s="1">
        <f t="shared" si="0"/>
        <v>1.4268207579369642E+16</v>
      </c>
    </row>
    <row r="27" spans="1:15" ht="21" x14ac:dyDescent="0.3">
      <c r="A27" s="1" t="s">
        <v>2</v>
      </c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1">
        <v>7</v>
      </c>
      <c r="I27" s="1">
        <v>8</v>
      </c>
      <c r="J27" s="1">
        <v>9</v>
      </c>
      <c r="K27" s="1">
        <v>10</v>
      </c>
      <c r="L27" s="1">
        <v>11</v>
      </c>
      <c r="M27" s="1">
        <v>12</v>
      </c>
      <c r="N27" s="1" t="s">
        <v>1</v>
      </c>
    </row>
    <row r="28" spans="1:15" x14ac:dyDescent="0.3">
      <c r="A28" s="1">
        <v>2001</v>
      </c>
      <c r="B28" s="1">
        <f>B2/10^15</f>
        <v>0.38601310991958099</v>
      </c>
      <c r="C28" s="1">
        <f t="shared" ref="C28:M28" si="1">C2/10^15</f>
        <v>0.387019050954856</v>
      </c>
      <c r="D28" s="1">
        <f t="shared" si="1"/>
        <v>0.62532413052395297</v>
      </c>
      <c r="E28" s="1">
        <f t="shared" si="1"/>
        <v>0.75475618950475099</v>
      </c>
      <c r="F28" s="1">
        <f t="shared" si="1"/>
        <v>1.2141341051358301</v>
      </c>
      <c r="G28" s="1">
        <f t="shared" si="1"/>
        <v>1.5392197485583501</v>
      </c>
      <c r="H28" s="1">
        <f t="shared" si="1"/>
        <v>2.1826918868416199</v>
      </c>
      <c r="I28" s="1">
        <f t="shared" si="1"/>
        <v>1.8300315581819599</v>
      </c>
      <c r="J28" s="1">
        <f t="shared" si="1"/>
        <v>0.76426390667132105</v>
      </c>
      <c r="K28" s="1">
        <f t="shared" si="1"/>
        <v>0.34012934823209301</v>
      </c>
      <c r="L28" s="1">
        <f t="shared" si="1"/>
        <v>6.3198101697345105E-2</v>
      </c>
      <c r="M28" s="1">
        <f t="shared" si="1"/>
        <v>0.28135302400334999</v>
      </c>
      <c r="N28" s="1">
        <f>SUM(B28:M28)</f>
        <v>10.36813416022501</v>
      </c>
      <c r="O28" s="1"/>
    </row>
    <row r="29" spans="1:15" x14ac:dyDescent="0.3">
      <c r="A29" s="1">
        <v>2002</v>
      </c>
      <c r="B29" s="1">
        <f t="shared" ref="B29:M29" si="2">B3/10^15</f>
        <v>0.46342008554119402</v>
      </c>
      <c r="C29" s="1">
        <f t="shared" si="2"/>
        <v>0.42303266276764001</v>
      </c>
      <c r="D29" s="1">
        <f t="shared" si="2"/>
        <v>0.59378888985669098</v>
      </c>
      <c r="E29" s="1">
        <f t="shared" si="2"/>
        <v>0.75985906936416303</v>
      </c>
      <c r="F29" s="1">
        <f t="shared" si="2"/>
        <v>1.27628810279359</v>
      </c>
      <c r="G29" s="1">
        <f t="shared" si="2"/>
        <v>1.91320982996644</v>
      </c>
      <c r="H29" s="1">
        <f t="shared" si="2"/>
        <v>2.20601916973385</v>
      </c>
      <c r="I29" s="1">
        <f t="shared" si="2"/>
        <v>1.8410115336249899</v>
      </c>
      <c r="J29" s="1">
        <f t="shared" si="2"/>
        <v>0.84401252295848395</v>
      </c>
      <c r="K29" s="1">
        <f t="shared" si="2"/>
        <v>0.27429959020497202</v>
      </c>
      <c r="L29" s="1">
        <f t="shared" si="2"/>
        <v>0.17368723284880699</v>
      </c>
      <c r="M29" s="1">
        <f t="shared" si="2"/>
        <v>0.230787645678635</v>
      </c>
      <c r="N29" s="1">
        <f t="shared" ref="N29:N51" si="3">SUM(B29:M29)</f>
        <v>10.999416335339456</v>
      </c>
      <c r="O29" s="1"/>
    </row>
    <row r="30" spans="1:15" x14ac:dyDescent="0.3">
      <c r="A30" s="1">
        <v>2003</v>
      </c>
      <c r="B30" s="1">
        <f t="shared" ref="B30:M30" si="4">B4/10^15</f>
        <v>0.45362096478290298</v>
      </c>
      <c r="C30" s="1">
        <f t="shared" si="4"/>
        <v>0.46148163692294503</v>
      </c>
      <c r="D30" s="1">
        <f t="shared" si="4"/>
        <v>0.63545954112604097</v>
      </c>
      <c r="E30" s="1">
        <f t="shared" si="4"/>
        <v>0.69590232929733897</v>
      </c>
      <c r="F30" s="1">
        <f t="shared" si="4"/>
        <v>1.2141615504291301</v>
      </c>
      <c r="G30" s="1">
        <f t="shared" si="4"/>
        <v>1.8985300833205101</v>
      </c>
      <c r="H30" s="1">
        <f t="shared" si="4"/>
        <v>2.3492729221003001</v>
      </c>
      <c r="I30" s="1">
        <f t="shared" si="4"/>
        <v>1.8200520954513899</v>
      </c>
      <c r="J30" s="1">
        <f t="shared" si="4"/>
        <v>0.82279882711420804</v>
      </c>
      <c r="K30" s="1">
        <f t="shared" si="4"/>
        <v>0.30880616354179202</v>
      </c>
      <c r="L30" s="1">
        <f t="shared" si="4"/>
        <v>0.13327427809560499</v>
      </c>
      <c r="M30" s="1">
        <f t="shared" si="4"/>
        <v>0.18393736617801201</v>
      </c>
      <c r="N30" s="1">
        <f t="shared" si="3"/>
        <v>10.977297758360177</v>
      </c>
      <c r="O30" s="1"/>
    </row>
    <row r="31" spans="1:15" x14ac:dyDescent="0.3">
      <c r="A31" s="1">
        <v>2004</v>
      </c>
      <c r="B31" s="1">
        <f t="shared" ref="B31:M31" si="5">B5/10^15</f>
        <v>0.374363687622215</v>
      </c>
      <c r="C31" s="1">
        <f t="shared" si="5"/>
        <v>0.48401653463420302</v>
      </c>
      <c r="D31" s="1">
        <f t="shared" si="5"/>
        <v>0.64988047199834298</v>
      </c>
      <c r="E31" s="1">
        <f t="shared" si="5"/>
        <v>0.77030587216894797</v>
      </c>
      <c r="F31" s="1">
        <f t="shared" si="5"/>
        <v>1.2237489433886699</v>
      </c>
      <c r="G31" s="1">
        <f t="shared" si="5"/>
        <v>1.9697839342246899</v>
      </c>
      <c r="H31" s="1">
        <f t="shared" si="5"/>
        <v>2.3655548920340599</v>
      </c>
      <c r="I31" s="1">
        <f t="shared" si="5"/>
        <v>1.9754483846902899</v>
      </c>
      <c r="J31" s="1">
        <f t="shared" si="5"/>
        <v>0.87613938841055505</v>
      </c>
      <c r="K31" s="1">
        <f t="shared" si="5"/>
        <v>0.194663674887808</v>
      </c>
      <c r="L31" s="1">
        <f t="shared" si="5"/>
        <v>-1.1394063547200801E-2</v>
      </c>
      <c r="M31" s="1">
        <f t="shared" si="5"/>
        <v>0.31248589720299402</v>
      </c>
      <c r="N31" s="1">
        <f t="shared" si="3"/>
        <v>11.184997617715576</v>
      </c>
      <c r="O31" s="1"/>
    </row>
    <row r="32" spans="1:15" x14ac:dyDescent="0.3">
      <c r="A32" s="1">
        <v>2005</v>
      </c>
      <c r="B32" s="1">
        <f t="shared" ref="B32:M32" si="6">B6/10^15</f>
        <v>0.49556401560784802</v>
      </c>
      <c r="C32" s="1">
        <f t="shared" si="6"/>
        <v>0.51779029886942995</v>
      </c>
      <c r="D32" s="1">
        <f t="shared" si="6"/>
        <v>0.62317381847432696</v>
      </c>
      <c r="E32" s="1">
        <f t="shared" si="6"/>
        <v>0.71509948532433398</v>
      </c>
      <c r="F32" s="1">
        <f t="shared" si="6"/>
        <v>1.3144547191437701</v>
      </c>
      <c r="G32" s="1">
        <f t="shared" si="6"/>
        <v>2.0824455728236999</v>
      </c>
      <c r="H32" s="1">
        <f t="shared" si="6"/>
        <v>2.3835953397205198</v>
      </c>
      <c r="I32" s="1">
        <f t="shared" si="6"/>
        <v>1.9541256431712799</v>
      </c>
      <c r="J32" s="1">
        <f t="shared" si="6"/>
        <v>0.92651922988014102</v>
      </c>
      <c r="K32" s="1">
        <f t="shared" si="6"/>
        <v>0.29885083063100498</v>
      </c>
      <c r="L32" s="1">
        <f t="shared" si="6"/>
        <v>4.1188629988771895E-2</v>
      </c>
      <c r="M32" s="1">
        <f t="shared" si="6"/>
        <v>0.22980191311863099</v>
      </c>
      <c r="N32" s="1">
        <f t="shared" si="3"/>
        <v>11.582609496753758</v>
      </c>
      <c r="O32" s="1"/>
    </row>
    <row r="33" spans="1:15" x14ac:dyDescent="0.3">
      <c r="A33" s="1">
        <v>2006</v>
      </c>
      <c r="B33" s="1">
        <f t="shared" ref="B33:M33" si="7">B7/10^15</f>
        <v>0.39825594342878901</v>
      </c>
      <c r="C33" s="1">
        <f t="shared" si="7"/>
        <v>0.45837622584457899</v>
      </c>
      <c r="D33" s="1">
        <f t="shared" si="7"/>
        <v>0.68409335638283197</v>
      </c>
      <c r="E33" s="1">
        <f t="shared" si="7"/>
        <v>0.78960439933788196</v>
      </c>
      <c r="F33" s="1">
        <f t="shared" si="7"/>
        <v>1.30446369287104</v>
      </c>
      <c r="G33" s="1">
        <f t="shared" si="7"/>
        <v>2.0517920658817301</v>
      </c>
      <c r="H33" s="1">
        <f t="shared" si="7"/>
        <v>2.2746836359629499</v>
      </c>
      <c r="I33" s="1">
        <f t="shared" si="7"/>
        <v>1.98009960586137</v>
      </c>
      <c r="J33" s="1">
        <f t="shared" si="7"/>
        <v>0.93417263391084204</v>
      </c>
      <c r="K33" s="1">
        <f t="shared" si="7"/>
        <v>0.33948454592531901</v>
      </c>
      <c r="L33" s="1">
        <f t="shared" si="7"/>
        <v>0.141350894767371</v>
      </c>
      <c r="M33" s="1">
        <f t="shared" si="7"/>
        <v>0.22145803232675901</v>
      </c>
      <c r="N33" s="1">
        <f t="shared" si="3"/>
        <v>11.577835032501463</v>
      </c>
      <c r="O33" s="1"/>
    </row>
    <row r="34" spans="1:15" x14ac:dyDescent="0.3">
      <c r="A34" s="1">
        <v>2007</v>
      </c>
      <c r="B34" s="1">
        <f t="shared" ref="B34:M34" si="8">B8/10^15</f>
        <v>0.40869371424886403</v>
      </c>
      <c r="C34" s="1">
        <f t="shared" si="8"/>
        <v>0.51204118181339398</v>
      </c>
      <c r="D34" s="1">
        <f t="shared" si="8"/>
        <v>0.75731128721061602</v>
      </c>
      <c r="E34" s="1">
        <f t="shared" si="8"/>
        <v>0.82590575180216497</v>
      </c>
      <c r="F34" s="1">
        <f t="shared" si="8"/>
        <v>1.38570237840921</v>
      </c>
      <c r="G34" s="1">
        <f t="shared" si="8"/>
        <v>2.0092782709421102</v>
      </c>
      <c r="H34" s="1">
        <f t="shared" si="8"/>
        <v>2.3129583386644001</v>
      </c>
      <c r="I34" s="1">
        <f t="shared" si="8"/>
        <v>1.92446486324257</v>
      </c>
      <c r="J34" s="1">
        <f t="shared" si="8"/>
        <v>0.87292661131031402</v>
      </c>
      <c r="K34" s="1">
        <f t="shared" si="8"/>
        <v>0.24725542094966799</v>
      </c>
      <c r="L34" s="1">
        <f t="shared" si="8"/>
        <v>0.113664742687308</v>
      </c>
      <c r="M34" s="1">
        <f t="shared" si="8"/>
        <v>0.29221091309254799</v>
      </c>
      <c r="N34" s="1">
        <f t="shared" si="3"/>
        <v>11.662413474373166</v>
      </c>
      <c r="O34" s="1"/>
    </row>
    <row r="35" spans="1:15" x14ac:dyDescent="0.3">
      <c r="A35" s="1">
        <v>2008</v>
      </c>
      <c r="B35" s="1">
        <f t="shared" ref="B35:M35" si="9">B9/10^15</f>
        <v>0.39855327756603198</v>
      </c>
      <c r="C35" s="1">
        <f t="shared" si="9"/>
        <v>0.56549594037871298</v>
      </c>
      <c r="D35" s="1">
        <f t="shared" si="9"/>
        <v>0.65657420544140899</v>
      </c>
      <c r="E35" s="1">
        <f t="shared" si="9"/>
        <v>0.85261489928707601</v>
      </c>
      <c r="F35" s="1">
        <f t="shared" si="9"/>
        <v>1.3332709759357</v>
      </c>
      <c r="G35" s="1">
        <f t="shared" si="9"/>
        <v>1.93374010062075</v>
      </c>
      <c r="H35" s="1">
        <f t="shared" si="9"/>
        <v>2.34686665362779</v>
      </c>
      <c r="I35" s="1">
        <f t="shared" si="9"/>
        <v>1.99443670265734</v>
      </c>
      <c r="J35" s="1">
        <f t="shared" si="9"/>
        <v>0.87785069546762295</v>
      </c>
      <c r="K35" s="1">
        <f t="shared" si="9"/>
        <v>0.231917630519621</v>
      </c>
      <c r="L35" s="1">
        <f t="shared" si="9"/>
        <v>-7.5757218401534793E-2</v>
      </c>
      <c r="M35" s="1">
        <f t="shared" si="9"/>
        <v>0.19990738210859901</v>
      </c>
      <c r="N35" s="1">
        <f t="shared" si="3"/>
        <v>11.315471245209119</v>
      </c>
      <c r="O35" s="1"/>
    </row>
    <row r="36" spans="1:15" x14ac:dyDescent="0.3">
      <c r="A36" s="1">
        <v>2009</v>
      </c>
      <c r="B36" s="1">
        <f t="shared" ref="B36:M36" si="10">B10/10^15</f>
        <v>0.42544571999754599</v>
      </c>
      <c r="C36" s="1">
        <f t="shared" si="10"/>
        <v>0.47090535088417701</v>
      </c>
      <c r="D36" s="1">
        <f t="shared" si="10"/>
        <v>0.68109480004940404</v>
      </c>
      <c r="E36" s="1">
        <f t="shared" si="10"/>
        <v>0.78128572706844002</v>
      </c>
      <c r="F36" s="1">
        <f t="shared" si="10"/>
        <v>1.3582719613933301</v>
      </c>
      <c r="G36" s="1">
        <f t="shared" si="10"/>
        <v>1.9283150445141799</v>
      </c>
      <c r="H36" s="1">
        <f t="shared" si="10"/>
        <v>2.3462291532927799</v>
      </c>
      <c r="I36" s="1">
        <f t="shared" si="10"/>
        <v>2.0664258967786999</v>
      </c>
      <c r="J36" s="1">
        <f t="shared" si="10"/>
        <v>1.0115413889102101</v>
      </c>
      <c r="K36" s="1">
        <f t="shared" si="10"/>
        <v>0.38381759544132799</v>
      </c>
      <c r="L36" s="1">
        <f t="shared" si="10"/>
        <v>0.18722291820024101</v>
      </c>
      <c r="M36" s="1">
        <f t="shared" si="10"/>
        <v>0.26737303132583101</v>
      </c>
      <c r="N36" s="1">
        <f t="shared" si="3"/>
        <v>11.907928587856169</v>
      </c>
      <c r="O36" s="1"/>
    </row>
    <row r="37" spans="1:15" x14ac:dyDescent="0.3">
      <c r="A37" s="1">
        <v>2010</v>
      </c>
      <c r="B37" s="1">
        <f t="shared" ref="B37:M37" si="11">B11/10^15</f>
        <v>0.52675588635984805</v>
      </c>
      <c r="C37" s="1">
        <f t="shared" si="11"/>
        <v>0.48736851126602598</v>
      </c>
      <c r="D37" s="1">
        <f t="shared" si="11"/>
        <v>0.79729602213275697</v>
      </c>
      <c r="E37" s="1">
        <f t="shared" si="11"/>
        <v>0.85184831096265001</v>
      </c>
      <c r="F37" s="1">
        <f t="shared" si="11"/>
        <v>1.3801810647263499</v>
      </c>
      <c r="G37" s="1">
        <f t="shared" si="11"/>
        <v>2.0593865646891798</v>
      </c>
      <c r="H37" s="1">
        <f t="shared" si="11"/>
        <v>2.3127643198497601</v>
      </c>
      <c r="I37" s="1">
        <f t="shared" si="11"/>
        <v>1.9569872050185599</v>
      </c>
      <c r="J37" s="1">
        <f t="shared" si="11"/>
        <v>0.94418757025872602</v>
      </c>
      <c r="K37" s="1">
        <f t="shared" si="11"/>
        <v>0.35593773388208499</v>
      </c>
      <c r="L37" s="1">
        <f t="shared" si="11"/>
        <v>4.5523846306997399E-2</v>
      </c>
      <c r="M37" s="1">
        <f t="shared" si="11"/>
        <v>0.37112424629444302</v>
      </c>
      <c r="N37" s="1">
        <f t="shared" si="3"/>
        <v>12.089361281747383</v>
      </c>
      <c r="O37" s="1"/>
    </row>
    <row r="38" spans="1:15" x14ac:dyDescent="0.3">
      <c r="A38" s="1">
        <v>2011</v>
      </c>
      <c r="B38" s="1">
        <f t="shared" ref="B38:M38" si="12">B12/10^15</f>
        <v>0.59666199086090099</v>
      </c>
      <c r="C38" s="1">
        <f t="shared" si="12"/>
        <v>0.53203118439124397</v>
      </c>
      <c r="D38" s="1">
        <f t="shared" si="12"/>
        <v>0.71812840230903197</v>
      </c>
      <c r="E38" s="1">
        <f t="shared" si="12"/>
        <v>0.85313970122947302</v>
      </c>
      <c r="F38" s="1">
        <f t="shared" si="12"/>
        <v>1.4401451966723</v>
      </c>
      <c r="G38" s="1">
        <f t="shared" si="12"/>
        <v>2.04713187849705</v>
      </c>
      <c r="H38" s="1">
        <f t="shared" si="12"/>
        <v>2.4793486214189899</v>
      </c>
      <c r="I38" s="1">
        <f t="shared" si="12"/>
        <v>2.1074912322097501</v>
      </c>
      <c r="J38" s="1">
        <f t="shared" si="12"/>
        <v>0.93875517874891801</v>
      </c>
      <c r="K38" s="1">
        <f t="shared" si="12"/>
        <v>0.30818155016188498</v>
      </c>
      <c r="L38" s="1">
        <f t="shared" si="12"/>
        <v>0.15195084376174101</v>
      </c>
      <c r="M38" s="1">
        <f t="shared" si="12"/>
        <v>0.33492793710114199</v>
      </c>
      <c r="N38" s="1">
        <f t="shared" si="3"/>
        <v>12.507893717362427</v>
      </c>
      <c r="O38" s="1"/>
    </row>
    <row r="39" spans="1:15" x14ac:dyDescent="0.3">
      <c r="A39" s="1">
        <v>2012</v>
      </c>
      <c r="B39" s="1">
        <f t="shared" ref="B39:M39" si="13">B13/10^15</f>
        <v>0.38679321334025801</v>
      </c>
      <c r="C39" s="1">
        <f t="shared" si="13"/>
        <v>0.53303798586586004</v>
      </c>
      <c r="D39" s="1">
        <f t="shared" si="13"/>
        <v>0.70491302949545098</v>
      </c>
      <c r="E39" s="1">
        <f t="shared" si="13"/>
        <v>0.80058042268465301</v>
      </c>
      <c r="F39" s="1">
        <f t="shared" si="13"/>
        <v>1.4033350306674199</v>
      </c>
      <c r="G39" s="1">
        <f t="shared" si="13"/>
        <v>2.0456977696769001</v>
      </c>
      <c r="H39" s="1">
        <f t="shared" si="13"/>
        <v>2.2412433926426698</v>
      </c>
      <c r="I39" s="1">
        <f t="shared" si="13"/>
        <v>1.9634648409964801</v>
      </c>
      <c r="J39" s="1">
        <f t="shared" si="13"/>
        <v>0.97598856532834899</v>
      </c>
      <c r="K39" s="1">
        <f t="shared" si="13"/>
        <v>0.32669676471921799</v>
      </c>
      <c r="L39" s="1">
        <f t="shared" si="13"/>
        <v>0.102899972808674</v>
      </c>
      <c r="M39" s="1">
        <f t="shared" si="13"/>
        <v>0.35144864421428501</v>
      </c>
      <c r="N39" s="1">
        <f t="shared" si="3"/>
        <v>11.836099632440217</v>
      </c>
      <c r="O39" s="1"/>
    </row>
    <row r="40" spans="1:15" x14ac:dyDescent="0.3">
      <c r="A40" s="1">
        <v>2013</v>
      </c>
      <c r="B40" s="1">
        <f t="shared" ref="B40:M40" si="14">B14/10^15</f>
        <v>0.38694994924043902</v>
      </c>
      <c r="C40" s="1">
        <f t="shared" si="14"/>
        <v>0.41866464880467602</v>
      </c>
      <c r="D40" s="1">
        <f t="shared" si="14"/>
        <v>0.74256918862309695</v>
      </c>
      <c r="E40" s="1">
        <f t="shared" si="14"/>
        <v>0.82087275052278696</v>
      </c>
      <c r="F40" s="1">
        <f t="shared" si="14"/>
        <v>1.37809689107889</v>
      </c>
      <c r="G40" s="1">
        <f t="shared" si="14"/>
        <v>2.1109205019688702</v>
      </c>
      <c r="H40" s="1">
        <f t="shared" si="14"/>
        <v>2.4586948361155598</v>
      </c>
      <c r="I40" s="1">
        <f t="shared" si="14"/>
        <v>2.0326567090469498</v>
      </c>
      <c r="J40" s="1">
        <f t="shared" si="14"/>
        <v>0.952567231719331</v>
      </c>
      <c r="K40" s="1">
        <f t="shared" si="14"/>
        <v>0.43155807962666098</v>
      </c>
      <c r="L40" s="1">
        <f t="shared" si="14"/>
        <v>8.6783354046871708E-2</v>
      </c>
      <c r="M40" s="1">
        <f t="shared" si="14"/>
        <v>0.34983999951653499</v>
      </c>
      <c r="N40" s="1">
        <f t="shared" si="3"/>
        <v>12.170174140310669</v>
      </c>
      <c r="O40" s="1"/>
    </row>
    <row r="41" spans="1:15" x14ac:dyDescent="0.3">
      <c r="A41" s="1">
        <v>2014</v>
      </c>
      <c r="B41" s="1">
        <f t="shared" ref="B41:M41" si="15">B15/10^15</f>
        <v>0.45799755185775998</v>
      </c>
      <c r="C41" s="1">
        <f t="shared" si="15"/>
        <v>0.45461245323937199</v>
      </c>
      <c r="D41" s="1">
        <f t="shared" si="15"/>
        <v>0.79988590340242705</v>
      </c>
      <c r="E41" s="1">
        <f t="shared" si="15"/>
        <v>0.92748642663377601</v>
      </c>
      <c r="F41" s="1">
        <f t="shared" si="15"/>
        <v>1.44108881261174</v>
      </c>
      <c r="G41" s="1">
        <f t="shared" si="15"/>
        <v>2.0754363930214299</v>
      </c>
      <c r="H41" s="1">
        <f t="shared" si="15"/>
        <v>2.4371492918814801</v>
      </c>
      <c r="I41" s="1">
        <f t="shared" si="15"/>
        <v>2.0504847511567399</v>
      </c>
      <c r="J41" s="1">
        <f t="shared" si="15"/>
        <v>1.0239043936046199</v>
      </c>
      <c r="K41" s="1">
        <f t="shared" si="15"/>
        <v>0.35653494304466499</v>
      </c>
      <c r="L41" s="1">
        <f t="shared" si="15"/>
        <v>0.14335274750020199</v>
      </c>
      <c r="M41" s="1">
        <f t="shared" si="15"/>
        <v>0.291305539105772</v>
      </c>
      <c r="N41" s="1">
        <f t="shared" si="3"/>
        <v>12.459239207059985</v>
      </c>
      <c r="O41" s="1"/>
    </row>
    <row r="42" spans="1:15" x14ac:dyDescent="0.3">
      <c r="A42" s="1">
        <v>2015</v>
      </c>
      <c r="B42" s="1">
        <f t="shared" ref="B42:M42" si="16">B16/10^15</f>
        <v>0.4802354366944</v>
      </c>
      <c r="C42" s="1">
        <f t="shared" si="16"/>
        <v>0.44214250577349801</v>
      </c>
      <c r="D42" s="1">
        <f t="shared" si="16"/>
        <v>0.63385707643844702</v>
      </c>
      <c r="E42" s="1">
        <f t="shared" si="16"/>
        <v>0.862990392242864</v>
      </c>
      <c r="F42" s="1">
        <f t="shared" si="16"/>
        <v>1.56035550420407</v>
      </c>
      <c r="G42" s="1">
        <f t="shared" si="16"/>
        <v>2.2139795040357799</v>
      </c>
      <c r="H42" s="1">
        <f t="shared" si="16"/>
        <v>2.4519854165503299</v>
      </c>
      <c r="I42" s="1">
        <f t="shared" si="16"/>
        <v>2.05821904034303</v>
      </c>
      <c r="J42" s="1">
        <f t="shared" si="16"/>
        <v>1.0103065142510199</v>
      </c>
      <c r="K42" s="1">
        <f t="shared" si="16"/>
        <v>0.35951120889883997</v>
      </c>
      <c r="L42" s="1">
        <f t="shared" si="16"/>
        <v>0.104537747020815</v>
      </c>
      <c r="M42" s="1">
        <f t="shared" si="16"/>
        <v>0.27008555768234899</v>
      </c>
      <c r="N42" s="1">
        <f t="shared" si="3"/>
        <v>12.448205904135442</v>
      </c>
      <c r="O42" s="1"/>
    </row>
    <row r="43" spans="1:15" x14ac:dyDescent="0.3">
      <c r="A43" s="1">
        <v>2016</v>
      </c>
      <c r="B43" s="1">
        <f t="shared" ref="B43:M44" si="17">B17/10^15</f>
        <v>0.47550806038508903</v>
      </c>
      <c r="C43" s="1">
        <f t="shared" si="17"/>
        <v>0.43238968490857999</v>
      </c>
      <c r="D43" s="1">
        <f t="shared" si="17"/>
        <v>0.63143211223352003</v>
      </c>
      <c r="E43" s="1">
        <f t="shared" si="17"/>
        <v>0.89440791056409397</v>
      </c>
      <c r="F43" s="1">
        <f t="shared" si="17"/>
        <v>1.5762000243351799</v>
      </c>
      <c r="G43" s="1">
        <f t="shared" si="17"/>
        <v>2.2110423421829699</v>
      </c>
      <c r="H43" s="1">
        <f t="shared" si="17"/>
        <v>2.52382139376174</v>
      </c>
      <c r="I43" s="1">
        <f t="shared" si="17"/>
        <v>2.1892787203572799</v>
      </c>
      <c r="J43" s="1">
        <f t="shared" si="17"/>
        <v>0.94589474923198102</v>
      </c>
      <c r="K43" s="1">
        <f t="shared" si="17"/>
        <v>0.373018246347189</v>
      </c>
      <c r="L43" s="1">
        <f t="shared" si="17"/>
        <v>0.15396200641354499</v>
      </c>
      <c r="M43" s="1">
        <f t="shared" si="17"/>
        <v>0.30480214335672601</v>
      </c>
      <c r="N43" s="1">
        <f t="shared" si="3"/>
        <v>12.711757394077894</v>
      </c>
      <c r="O43" s="1"/>
    </row>
    <row r="44" spans="1:15" x14ac:dyDescent="0.3">
      <c r="A44" s="1">
        <v>2017</v>
      </c>
      <c r="B44" s="1">
        <f t="shared" ref="B44:M44" si="18">B18/10^15</f>
        <v>0.50192094480195004</v>
      </c>
      <c r="C44" s="1">
        <f t="shared" si="18"/>
        <v>0.48714229396475001</v>
      </c>
      <c r="D44" s="1">
        <f t="shared" si="18"/>
        <v>0.75715713729203904</v>
      </c>
      <c r="E44" s="1">
        <f t="shared" si="18"/>
        <v>0.92072988794426502</v>
      </c>
      <c r="F44" s="1">
        <f t="shared" si="18"/>
        <v>1.51636361515159</v>
      </c>
      <c r="G44" s="1">
        <f t="shared" si="18"/>
        <v>2.15295947647351</v>
      </c>
      <c r="H44" s="1">
        <f t="shared" si="18"/>
        <v>2.6276598486552301</v>
      </c>
      <c r="I44" s="1">
        <f t="shared" si="18"/>
        <v>2.15652178351037</v>
      </c>
      <c r="J44" s="1">
        <f t="shared" si="17"/>
        <v>0.91242146450436401</v>
      </c>
      <c r="K44" s="1">
        <f t="shared" si="18"/>
        <v>0.34066855947652402</v>
      </c>
      <c r="L44" s="1">
        <f t="shared" si="18"/>
        <v>0.18067033705664701</v>
      </c>
      <c r="M44" s="1">
        <f t="shared" si="18"/>
        <v>0.286114577248337</v>
      </c>
      <c r="N44" s="1">
        <f t="shared" si="3"/>
        <v>12.840329926079576</v>
      </c>
      <c r="O44" s="1"/>
    </row>
    <row r="45" spans="1:15" x14ac:dyDescent="0.3">
      <c r="A45" s="1">
        <v>2018</v>
      </c>
      <c r="B45" s="1">
        <f t="shared" ref="B45:M45" si="19">B19/10^15</f>
        <v>0.413927161969595</v>
      </c>
      <c r="C45" s="1">
        <f t="shared" si="19"/>
        <v>0.48016741578490402</v>
      </c>
      <c r="D45" s="1">
        <f t="shared" si="19"/>
        <v>0.771561001605088</v>
      </c>
      <c r="E45" s="1">
        <f t="shared" si="19"/>
        <v>0.92501689303687296</v>
      </c>
      <c r="F45" s="1">
        <f t="shared" si="19"/>
        <v>1.4057465572355701</v>
      </c>
      <c r="G45" s="1">
        <f t="shared" si="19"/>
        <v>2.09840436302588</v>
      </c>
      <c r="H45" s="1">
        <f t="shared" si="19"/>
        <v>2.47740887774725</v>
      </c>
      <c r="I45" s="1">
        <f t="shared" si="19"/>
        <v>2.01492813459146</v>
      </c>
      <c r="J45" s="1">
        <f t="shared" si="19"/>
        <v>0.98982610795093995</v>
      </c>
      <c r="K45" s="1">
        <f t="shared" si="19"/>
        <v>0.40576702573069601</v>
      </c>
      <c r="L45" s="1">
        <f t="shared" si="19"/>
        <v>0.124829496530388</v>
      </c>
      <c r="M45" s="1">
        <f t="shared" si="19"/>
        <v>0.32009470738628998</v>
      </c>
      <c r="N45" s="1">
        <f t="shared" si="3"/>
        <v>12.427677742594934</v>
      </c>
      <c r="O45" s="1"/>
    </row>
    <row r="46" spans="1:15" x14ac:dyDescent="0.3">
      <c r="A46" s="1">
        <v>2019</v>
      </c>
      <c r="B46" s="1">
        <f t="shared" ref="B46:M46" si="20">B20/10^15</f>
        <v>0.54447494651350004</v>
      </c>
      <c r="C46" s="1">
        <f t="shared" si="20"/>
        <v>0.54136706669476997</v>
      </c>
      <c r="D46" s="1">
        <f t="shared" si="20"/>
        <v>0.739696489667515</v>
      </c>
      <c r="E46" s="1">
        <f t="shared" si="20"/>
        <v>0.95168848103169001</v>
      </c>
      <c r="F46" s="1">
        <f t="shared" si="20"/>
        <v>1.50977025747311</v>
      </c>
      <c r="G46" s="1">
        <f t="shared" si="20"/>
        <v>2.1447375368002599</v>
      </c>
      <c r="H46" s="1">
        <f t="shared" si="20"/>
        <v>2.4768253956863999</v>
      </c>
      <c r="I46" s="1">
        <f t="shared" si="20"/>
        <v>2.1198956099521302</v>
      </c>
      <c r="J46" s="1">
        <f t="shared" si="20"/>
        <v>1.08920262912796</v>
      </c>
      <c r="K46" s="1">
        <f t="shared" si="20"/>
        <v>0.38126458423583398</v>
      </c>
      <c r="L46" s="1">
        <f t="shared" si="20"/>
        <v>0.21531981264018599</v>
      </c>
      <c r="M46" s="1">
        <f t="shared" si="20"/>
        <v>0.306139124133742</v>
      </c>
      <c r="N46" s="1">
        <f t="shared" si="3"/>
        <v>13.020381933957097</v>
      </c>
      <c r="O46" s="1"/>
    </row>
    <row r="47" spans="1:15" x14ac:dyDescent="0.3">
      <c r="A47" s="1">
        <v>2020</v>
      </c>
      <c r="B47" s="1">
        <f t="shared" ref="B47:M47" si="21">B21/10^15</f>
        <v>0.60250519313392803</v>
      </c>
      <c r="C47" s="1">
        <f t="shared" si="21"/>
        <v>0.63895619123451497</v>
      </c>
      <c r="D47" s="1">
        <f t="shared" si="21"/>
        <v>0.84803559402096396</v>
      </c>
      <c r="E47" s="1">
        <f t="shared" si="21"/>
        <v>1.05622012295045</v>
      </c>
      <c r="F47" s="1">
        <f t="shared" si="21"/>
        <v>1.55407964145864</v>
      </c>
      <c r="G47" s="1">
        <f t="shared" si="21"/>
        <v>2.1896166494922702</v>
      </c>
      <c r="H47" s="1">
        <f t="shared" si="21"/>
        <v>2.6225402070367299</v>
      </c>
      <c r="I47" s="1">
        <f t="shared" si="21"/>
        <v>2.20840119197211</v>
      </c>
      <c r="J47" s="1">
        <f t="shared" si="21"/>
        <v>1.0451344939660601</v>
      </c>
      <c r="K47" s="1">
        <f t="shared" si="21"/>
        <v>0.29893996190653399</v>
      </c>
      <c r="L47" s="1">
        <f t="shared" si="21"/>
        <v>6.8537827040480295E-2</v>
      </c>
      <c r="M47" s="1">
        <f t="shared" si="21"/>
        <v>0.36624796138617399</v>
      </c>
      <c r="N47" s="1">
        <f t="shared" si="3"/>
        <v>13.499215035598853</v>
      </c>
      <c r="O47" s="1"/>
    </row>
    <row r="48" spans="1:15" x14ac:dyDescent="0.3">
      <c r="A48" s="1">
        <v>2021</v>
      </c>
      <c r="B48" s="1">
        <f t="shared" ref="B48:M48" si="22">B22/10^15</f>
        <v>0.57541945175210896</v>
      </c>
      <c r="C48" s="1">
        <f t="shared" si="22"/>
        <v>0.62780915192242404</v>
      </c>
      <c r="D48" s="1">
        <f t="shared" si="22"/>
        <v>0.76859871622458298</v>
      </c>
      <c r="E48" s="1">
        <f t="shared" si="22"/>
        <v>0.95665874649749505</v>
      </c>
      <c r="F48" s="1">
        <f t="shared" si="22"/>
        <v>1.5711223814081401</v>
      </c>
      <c r="G48" s="1">
        <f t="shared" si="22"/>
        <v>2.2519580469163798</v>
      </c>
      <c r="H48" s="1">
        <f t="shared" si="22"/>
        <v>2.62114340927657</v>
      </c>
      <c r="I48" s="1">
        <f t="shared" si="22"/>
        <v>2.1469929376058299</v>
      </c>
      <c r="J48" s="1">
        <f t="shared" si="22"/>
        <v>1.0861736449202699</v>
      </c>
      <c r="K48" s="1">
        <f t="shared" si="22"/>
        <v>0.44182747466567401</v>
      </c>
      <c r="L48" s="1">
        <f t="shared" si="22"/>
        <v>0.11276822784714401</v>
      </c>
      <c r="M48" s="1">
        <f t="shared" si="22"/>
        <v>0.24810497242912799</v>
      </c>
      <c r="N48" s="1">
        <f t="shared" si="3"/>
        <v>13.408577161465747</v>
      </c>
      <c r="O48" s="1"/>
    </row>
    <row r="49" spans="1:15" x14ac:dyDescent="0.3">
      <c r="A49" s="1">
        <v>2022</v>
      </c>
      <c r="B49" s="1">
        <f t="shared" ref="B49:M49" si="23">B23/10^15</f>
        <v>0.58097152861274204</v>
      </c>
      <c r="C49" s="1">
        <f t="shared" si="23"/>
        <v>0.52641384689943804</v>
      </c>
      <c r="D49" s="1">
        <f t="shared" si="23"/>
        <v>0.77856325117151204</v>
      </c>
      <c r="E49" s="1">
        <f t="shared" si="23"/>
        <v>0.95270934673781904</v>
      </c>
      <c r="F49" s="1">
        <f t="shared" si="23"/>
        <v>1.46843254772554</v>
      </c>
      <c r="G49" s="1">
        <f t="shared" si="23"/>
        <v>2.2089247759065298</v>
      </c>
      <c r="H49" s="1">
        <f t="shared" si="23"/>
        <v>2.58914048827309</v>
      </c>
      <c r="I49" s="1">
        <f t="shared" si="23"/>
        <v>2.2442954574101299</v>
      </c>
      <c r="J49" s="1">
        <f t="shared" si="23"/>
        <v>1.0537494002946</v>
      </c>
      <c r="K49" s="1">
        <f t="shared" si="23"/>
        <v>0.23270181536434401</v>
      </c>
      <c r="L49" s="1">
        <f t="shared" si="23"/>
        <v>0.225004732736064</v>
      </c>
      <c r="M49" s="1">
        <f t="shared" si="23"/>
        <v>0.40894889741360801</v>
      </c>
      <c r="N49" s="1">
        <f t="shared" si="3"/>
        <v>13.269856088545417</v>
      </c>
      <c r="O49" s="1"/>
    </row>
    <row r="50" spans="1:15" x14ac:dyDescent="0.3">
      <c r="A50" s="1">
        <v>2023</v>
      </c>
      <c r="B50" s="1">
        <f t="shared" ref="B50:M50" si="24">B24/10^15</f>
        <v>0.55835697296730402</v>
      </c>
      <c r="C50" s="1">
        <f t="shared" si="24"/>
        <v>0.60273460516695698</v>
      </c>
      <c r="D50" s="1">
        <f t="shared" si="24"/>
        <v>0.75180389851351803</v>
      </c>
      <c r="E50" s="1">
        <f t="shared" si="24"/>
        <v>1.07901011392797</v>
      </c>
      <c r="F50" s="1">
        <f t="shared" si="24"/>
        <v>1.65674977455016</v>
      </c>
      <c r="G50" s="1">
        <f t="shared" si="24"/>
        <v>2.2718009200263798</v>
      </c>
      <c r="H50" s="1">
        <f t="shared" si="24"/>
        <v>2.63020804297674</v>
      </c>
      <c r="I50" s="1">
        <f t="shared" si="24"/>
        <v>2.24198937211907</v>
      </c>
      <c r="J50" s="1">
        <f t="shared" si="24"/>
        <v>1.1350536862663601</v>
      </c>
      <c r="K50" s="1">
        <f t="shared" si="24"/>
        <v>0.39343008456969703</v>
      </c>
      <c r="L50" s="1">
        <f t="shared" si="24"/>
        <v>8.52837347414383E-2</v>
      </c>
      <c r="M50" s="1">
        <f t="shared" si="24"/>
        <v>0.33874375530065898</v>
      </c>
      <c r="N50" s="1">
        <f t="shared" si="3"/>
        <v>13.745164961126253</v>
      </c>
      <c r="O50" s="1"/>
    </row>
    <row r="51" spans="1:15" x14ac:dyDescent="0.3">
      <c r="A51" s="1">
        <v>2024</v>
      </c>
      <c r="B51" s="1">
        <f t="shared" ref="B51:M51" si="25">B25/10^15</f>
        <v>0.63940063382255996</v>
      </c>
      <c r="C51" s="1">
        <f t="shared" si="25"/>
        <v>0.659863220489875</v>
      </c>
      <c r="D51" s="1">
        <f t="shared" si="25"/>
        <v>0.91114158024585201</v>
      </c>
      <c r="E51" s="1">
        <f t="shared" si="25"/>
        <v>1.11639700961418</v>
      </c>
      <c r="F51" s="1">
        <f t="shared" si="25"/>
        <v>1.5898882206750999</v>
      </c>
      <c r="G51" s="1">
        <f t="shared" si="25"/>
        <v>2.17389544963422</v>
      </c>
      <c r="H51" s="1">
        <f t="shared" si="25"/>
        <v>2.5766674809757699</v>
      </c>
      <c r="I51" s="1">
        <f t="shared" si="25"/>
        <v>2.2987351516878198</v>
      </c>
      <c r="J51" s="1">
        <f t="shared" si="25"/>
        <v>1.2489177943885299</v>
      </c>
      <c r="K51" s="1">
        <f t="shared" si="25"/>
        <v>0.46375806143959403</v>
      </c>
      <c r="L51" s="1">
        <f t="shared" si="25"/>
        <v>0.16323128975099399</v>
      </c>
      <c r="M51" s="1">
        <f t="shared" si="25"/>
        <v>0.42631168664514801</v>
      </c>
      <c r="N51" s="1">
        <f t="shared" si="3"/>
        <v>14.268207579369642</v>
      </c>
      <c r="O51" s="1"/>
    </row>
    <row r="52" spans="1:15" x14ac:dyDescent="0.3">
      <c r="A52" s="1" t="s">
        <v>4</v>
      </c>
      <c r="B52" s="1">
        <f>AVERAGE(B28:B51)</f>
        <v>0.48049206004280648</v>
      </c>
      <c r="C52" s="1">
        <f t="shared" ref="C52:N52" si="26">AVERAGE(C28:C51)</f>
        <v>0.50603581872820114</v>
      </c>
      <c r="D52" s="1">
        <f t="shared" si="26"/>
        <v>0.71922249601830901</v>
      </c>
      <c r="E52" s="1">
        <f t="shared" si="26"/>
        <v>0.87146209332233904</v>
      </c>
      <c r="F52" s="1">
        <f t="shared" si="26"/>
        <v>1.4198354978947529</v>
      </c>
      <c r="G52" s="1">
        <f t="shared" si="26"/>
        <v>2.0659252843000031</v>
      </c>
      <c r="H52" s="1">
        <f t="shared" si="26"/>
        <v>2.428936375617774</v>
      </c>
      <c r="I52" s="1">
        <f t="shared" si="26"/>
        <v>2.0490182675682331</v>
      </c>
      <c r="J52" s="1">
        <f t="shared" si="26"/>
        <v>0.97009619288315518</v>
      </c>
      <c r="K52" s="1">
        <f t="shared" si="26"/>
        <v>0.33704253726679351</v>
      </c>
      <c r="L52" s="1">
        <f t="shared" si="26"/>
        <v>0.11379547885578752</v>
      </c>
      <c r="M52" s="1">
        <f t="shared" si="26"/>
        <v>0.29973145642707072</v>
      </c>
      <c r="N52" s="1">
        <f t="shared" si="26"/>
        <v>12.261593558925227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D4E6-96BD-43F3-94C3-58D78D4C243E}">
  <dimension ref="A1:N26"/>
  <sheetViews>
    <sheetView workbookViewId="0">
      <selection activeCell="B27" sqref="B27"/>
    </sheetView>
  </sheetViews>
  <sheetFormatPr defaultRowHeight="14.25" x14ac:dyDescent="0.2"/>
  <cols>
    <col min="1" max="1" width="13.25" bestFit="1" customWidth="1"/>
    <col min="2" max="5" width="16.125" bestFit="1" customWidth="1"/>
    <col min="6" max="7" width="20" customWidth="1"/>
    <col min="8" max="9" width="10.5" bestFit="1" customWidth="1"/>
    <col min="10" max="13" width="16.125" bestFit="1" customWidth="1"/>
    <col min="14" max="14" width="14.25" customWidth="1"/>
  </cols>
  <sheetData>
    <row r="1" spans="1:14" ht="18.75" x14ac:dyDescent="0.3">
      <c r="A1" s="1" t="s">
        <v>3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 t="s">
        <v>4</v>
      </c>
    </row>
    <row r="2" spans="1:14" ht="18.75" x14ac:dyDescent="0.3">
      <c r="A2" s="1">
        <v>2001</v>
      </c>
      <c r="B2" s="1">
        <v>0.12978464644802401</v>
      </c>
      <c r="C2" s="1">
        <v>0.120331535529644</v>
      </c>
      <c r="D2" s="1">
        <v>0.13513949990468599</v>
      </c>
      <c r="E2" s="1">
        <v>0.186228145864065</v>
      </c>
      <c r="F2" s="2">
        <v>0.18209927188005301</v>
      </c>
      <c r="G2" s="2">
        <v>0.16211685585220001</v>
      </c>
      <c r="H2" s="2">
        <v>0.16160508768753101</v>
      </c>
      <c r="I2" s="2">
        <v>0.176586412713757</v>
      </c>
      <c r="J2" s="1">
        <v>0.18082833220555</v>
      </c>
      <c r="K2" s="1">
        <v>0.17311607386162001</v>
      </c>
      <c r="L2" s="1">
        <v>0.14208341980752201</v>
      </c>
      <c r="M2" s="1">
        <v>0.153208634066341</v>
      </c>
      <c r="N2" s="1">
        <f>AVERAGE(B2:M2)</f>
        <v>0.15859399298508275</v>
      </c>
    </row>
    <row r="3" spans="1:14" ht="18.75" x14ac:dyDescent="0.3">
      <c r="A3" s="1">
        <v>2002</v>
      </c>
      <c r="B3" s="1">
        <v>0.129701764630617</v>
      </c>
      <c r="C3" s="1">
        <v>0.122403905531921</v>
      </c>
      <c r="D3" s="1">
        <v>0.13842261720457499</v>
      </c>
      <c r="E3" s="1">
        <v>0.189359531300306</v>
      </c>
      <c r="F3" s="2">
        <v>0.184168856824972</v>
      </c>
      <c r="G3" s="2">
        <v>0.155663653200003</v>
      </c>
      <c r="H3" s="2">
        <v>0.158984855032721</v>
      </c>
      <c r="I3" s="2">
        <v>0.17428866418237399</v>
      </c>
      <c r="J3" s="1">
        <v>0.18014333176219999</v>
      </c>
      <c r="K3" s="1">
        <v>0.169763230971541</v>
      </c>
      <c r="L3" s="1">
        <v>0.13648292157297501</v>
      </c>
      <c r="M3" s="1">
        <v>0.153520019910698</v>
      </c>
      <c r="N3" s="1">
        <f t="shared" ref="N3:N25" si="0">AVERAGE(B3:M3)</f>
        <v>0.15774194601040858</v>
      </c>
    </row>
    <row r="4" spans="1:14" ht="18.75" x14ac:dyDescent="0.3">
      <c r="A4" s="1">
        <v>2003</v>
      </c>
      <c r="B4" s="1">
        <v>0.130086259596529</v>
      </c>
      <c r="C4" s="1">
        <v>0.12087191819694</v>
      </c>
      <c r="D4" s="1">
        <v>0.13749913248002801</v>
      </c>
      <c r="E4" s="1">
        <v>0.19192948001184801</v>
      </c>
      <c r="F4" s="2">
        <v>0.184518849851975</v>
      </c>
      <c r="G4" s="2">
        <v>0.15958081413005701</v>
      </c>
      <c r="H4" s="2">
        <v>0.15963670064628599</v>
      </c>
      <c r="I4" s="2">
        <v>0.178495424592681</v>
      </c>
      <c r="J4" s="1">
        <v>0.180248185077519</v>
      </c>
      <c r="K4" s="1">
        <v>0.17395049362588799</v>
      </c>
      <c r="L4" s="1">
        <v>0.135804951184918</v>
      </c>
      <c r="M4" s="1">
        <v>0.15287462521883199</v>
      </c>
      <c r="N4" s="1">
        <f t="shared" si="0"/>
        <v>0.15879140288445842</v>
      </c>
    </row>
    <row r="5" spans="1:14" ht="18.75" x14ac:dyDescent="0.3">
      <c r="A5" s="1">
        <v>2004</v>
      </c>
      <c r="B5" s="1">
        <v>0.12984492145617299</v>
      </c>
      <c r="C5" s="1">
        <v>0.119897890660912</v>
      </c>
      <c r="D5" s="1">
        <v>0.13331894956237</v>
      </c>
      <c r="E5" s="1">
        <v>0.19008540814509101</v>
      </c>
      <c r="F5" s="2">
        <v>0.18278359513269499</v>
      </c>
      <c r="G5" s="2">
        <v>0.161012984395249</v>
      </c>
      <c r="H5" s="2">
        <v>0.16076708587289601</v>
      </c>
      <c r="I5" s="2">
        <v>0.17498442589983901</v>
      </c>
      <c r="J5" s="1">
        <v>0.177190840960679</v>
      </c>
      <c r="K5" s="1">
        <v>0.17456995736387901</v>
      </c>
      <c r="L5" s="1">
        <v>0.15935178143105</v>
      </c>
      <c r="M5" s="1">
        <v>0.151839624408622</v>
      </c>
      <c r="N5" s="1">
        <f t="shared" si="0"/>
        <v>0.15963728877412128</v>
      </c>
    </row>
    <row r="6" spans="1:14" ht="18.75" x14ac:dyDescent="0.3">
      <c r="A6" s="1">
        <v>2005</v>
      </c>
      <c r="B6" s="1">
        <v>0.12783914810156</v>
      </c>
      <c r="C6" s="1">
        <v>0.121545650528565</v>
      </c>
      <c r="D6" s="1">
        <v>0.13555860361781999</v>
      </c>
      <c r="E6" s="1">
        <v>0.18796976758711101</v>
      </c>
      <c r="F6" s="2">
        <v>0.18163198615194401</v>
      </c>
      <c r="G6" s="2">
        <v>0.15679928918417699</v>
      </c>
      <c r="H6" s="2">
        <v>0.16050276788666901</v>
      </c>
      <c r="I6" s="2">
        <v>0.176602038738608</v>
      </c>
      <c r="J6" s="1">
        <v>0.177798168962751</v>
      </c>
      <c r="K6" s="1">
        <v>0.17384620564045999</v>
      </c>
      <c r="L6" s="1">
        <v>0.14136639784569499</v>
      </c>
      <c r="M6" s="1">
        <v>0.152347862376183</v>
      </c>
      <c r="N6" s="1">
        <f t="shared" si="0"/>
        <v>0.15781732388512856</v>
      </c>
    </row>
    <row r="7" spans="1:14" ht="18.75" x14ac:dyDescent="0.3">
      <c r="A7" s="1">
        <v>2006</v>
      </c>
      <c r="B7" s="1">
        <v>0.13184910720611201</v>
      </c>
      <c r="C7" s="1">
        <v>0.119178944799272</v>
      </c>
      <c r="D7" s="1">
        <v>0.13372465585697099</v>
      </c>
      <c r="E7" s="1">
        <v>0.18129785580698499</v>
      </c>
      <c r="F7" s="2">
        <v>0.183825263057912</v>
      </c>
      <c r="G7" s="2">
        <v>0.15963161530449699</v>
      </c>
      <c r="H7" s="2">
        <v>0.16043630982915899</v>
      </c>
      <c r="I7" s="2">
        <v>0.175169469200157</v>
      </c>
      <c r="J7" s="1">
        <v>0.18020976598503</v>
      </c>
      <c r="K7" s="1">
        <v>0.17478615558524199</v>
      </c>
      <c r="L7" s="1">
        <v>0.13662607794127299</v>
      </c>
      <c r="M7" s="1">
        <v>0.154449787893921</v>
      </c>
      <c r="N7" s="1">
        <f t="shared" si="0"/>
        <v>0.15759875070554424</v>
      </c>
    </row>
    <row r="8" spans="1:14" ht="18.75" x14ac:dyDescent="0.3">
      <c r="A8" s="1">
        <v>2007</v>
      </c>
      <c r="B8" s="1">
        <v>0.12979495439069699</v>
      </c>
      <c r="C8" s="1">
        <v>0.1198195126474</v>
      </c>
      <c r="D8" s="1">
        <v>0.12864836579614999</v>
      </c>
      <c r="E8" s="1">
        <v>0.190118518375335</v>
      </c>
      <c r="F8" s="2">
        <v>0.17938093603250599</v>
      </c>
      <c r="G8" s="2">
        <v>0.154929081085797</v>
      </c>
      <c r="H8" s="2">
        <v>0.15933698315282699</v>
      </c>
      <c r="I8" s="2">
        <v>0.17158203114783499</v>
      </c>
      <c r="J8" s="1">
        <v>0.177877984493446</v>
      </c>
      <c r="K8" s="1">
        <v>0.17163440883682801</v>
      </c>
      <c r="L8" s="1">
        <v>0.13780219671243399</v>
      </c>
      <c r="M8" s="1">
        <v>0.15136635591016301</v>
      </c>
      <c r="N8" s="1">
        <f t="shared" si="0"/>
        <v>0.15602427738178484</v>
      </c>
    </row>
    <row r="9" spans="1:14" ht="18.75" x14ac:dyDescent="0.3">
      <c r="A9" s="1">
        <v>2008</v>
      </c>
      <c r="B9" s="1">
        <v>0.12936831950497599</v>
      </c>
      <c r="C9" s="1">
        <v>0.11685299722739501</v>
      </c>
      <c r="D9" s="1">
        <v>0.135184460255135</v>
      </c>
      <c r="E9" s="1">
        <v>0.190755887846463</v>
      </c>
      <c r="F9" s="2">
        <v>0.181683936510005</v>
      </c>
      <c r="G9" s="2">
        <v>0.156308266434247</v>
      </c>
      <c r="H9" s="2">
        <v>0.15586217396027199</v>
      </c>
      <c r="I9" s="2">
        <v>0.17145280150515399</v>
      </c>
      <c r="J9" s="1">
        <v>0.17533644365486001</v>
      </c>
      <c r="K9" s="1">
        <v>0.17362230119712299</v>
      </c>
      <c r="L9" s="1">
        <v>0.15593769193339299</v>
      </c>
      <c r="M9" s="1">
        <v>0.15211065265484899</v>
      </c>
      <c r="N9" s="1">
        <f t="shared" si="0"/>
        <v>0.15787299439032265</v>
      </c>
    </row>
    <row r="10" spans="1:14" ht="18.75" x14ac:dyDescent="0.3">
      <c r="A10" s="1">
        <v>2009</v>
      </c>
      <c r="B10" s="1">
        <v>0.129701505108965</v>
      </c>
      <c r="C10" s="1">
        <v>0.11913137772891599</v>
      </c>
      <c r="D10" s="1">
        <v>0.132150200145257</v>
      </c>
      <c r="E10" s="1">
        <v>0.192703334586527</v>
      </c>
      <c r="F10" s="2">
        <v>0.184714058191287</v>
      </c>
      <c r="G10" s="2">
        <v>0.15973111088202399</v>
      </c>
      <c r="H10" s="2">
        <v>0.15680402941546601</v>
      </c>
      <c r="I10" s="2">
        <v>0.17242157224077201</v>
      </c>
      <c r="J10" s="2">
        <v>0.17795348827944099</v>
      </c>
      <c r="K10" s="1">
        <v>0.17357408619576001</v>
      </c>
      <c r="L10" s="1">
        <v>0.13644180457941699</v>
      </c>
      <c r="M10" s="1">
        <v>0.15394349924620301</v>
      </c>
      <c r="N10" s="1">
        <f t="shared" si="0"/>
        <v>0.15743917221666956</v>
      </c>
    </row>
    <row r="11" spans="1:14" ht="18.75" x14ac:dyDescent="0.3">
      <c r="A11" s="1">
        <v>2010</v>
      </c>
      <c r="B11" s="1">
        <v>0.12775069544318801</v>
      </c>
      <c r="C11" s="1">
        <v>0.12010696808348401</v>
      </c>
      <c r="D11" s="1">
        <v>0.13235860003990399</v>
      </c>
      <c r="E11" s="1">
        <v>0.187091105153469</v>
      </c>
      <c r="F11" s="2">
        <v>0.179066536094273</v>
      </c>
      <c r="G11" s="2">
        <v>0.15526994683193501</v>
      </c>
      <c r="H11" s="2">
        <v>0.15990662981906301</v>
      </c>
      <c r="I11" s="2">
        <v>0.17372362372319999</v>
      </c>
      <c r="J11" s="1">
        <v>0.175867043603922</v>
      </c>
      <c r="K11" s="1">
        <v>0.17145727025017099</v>
      </c>
      <c r="L11" s="1">
        <v>0.14583661507565901</v>
      </c>
      <c r="M11" s="1">
        <v>0.15157157387890699</v>
      </c>
      <c r="N11" s="1">
        <f t="shared" si="0"/>
        <v>0.15666721733309791</v>
      </c>
    </row>
    <row r="12" spans="1:14" ht="18.75" x14ac:dyDescent="0.3">
      <c r="A12" s="1">
        <v>2011</v>
      </c>
      <c r="B12" s="1">
        <v>0.12722445844063501</v>
      </c>
      <c r="C12" s="1">
        <v>0.118446983217044</v>
      </c>
      <c r="D12" s="1">
        <v>0.13858002627258301</v>
      </c>
      <c r="E12" s="1">
        <v>0.180835528771388</v>
      </c>
      <c r="F12" s="2">
        <v>0.18006055681130301</v>
      </c>
      <c r="G12" s="2">
        <v>0.155695480457261</v>
      </c>
      <c r="H12" s="2">
        <v>0.158249949644024</v>
      </c>
      <c r="I12" s="2">
        <v>0.17143535472774701</v>
      </c>
      <c r="J12" s="1">
        <v>0.177206341531434</v>
      </c>
      <c r="K12" s="1">
        <v>0.176253041855057</v>
      </c>
      <c r="L12" s="1">
        <v>0.13528488344412001</v>
      </c>
      <c r="M12" s="1">
        <v>0.15397510305524401</v>
      </c>
      <c r="N12" s="1">
        <f t="shared" si="0"/>
        <v>0.15610397568565335</v>
      </c>
    </row>
    <row r="13" spans="1:14" ht="18.75" x14ac:dyDescent="0.3">
      <c r="A13" s="1">
        <v>2012</v>
      </c>
      <c r="B13" s="1">
        <v>0.13148077499962901</v>
      </c>
      <c r="C13" s="1">
        <v>0.118919312451342</v>
      </c>
      <c r="D13" s="1">
        <v>0.131350896635091</v>
      </c>
      <c r="E13" s="1">
        <v>0.18616065282208699</v>
      </c>
      <c r="F13" s="2">
        <v>0.17948734508567701</v>
      </c>
      <c r="G13" s="2">
        <v>0.15521011727557099</v>
      </c>
      <c r="H13" s="2">
        <v>0.15879708281378099</v>
      </c>
      <c r="I13" s="2">
        <v>0.17075826216252599</v>
      </c>
      <c r="J13" s="1">
        <v>0.17676176963823401</v>
      </c>
      <c r="K13" s="1">
        <v>0.17110434035121699</v>
      </c>
      <c r="L13" s="1">
        <v>0.15099463054353501</v>
      </c>
      <c r="M13" s="1">
        <v>0.15135771993941</v>
      </c>
      <c r="N13" s="1">
        <f t="shared" si="0"/>
        <v>0.15686524205984165</v>
      </c>
    </row>
    <row r="14" spans="1:14" ht="18.75" x14ac:dyDescent="0.3">
      <c r="A14" s="1">
        <v>2013</v>
      </c>
      <c r="B14" s="1">
        <v>0.12781606899287501</v>
      </c>
      <c r="C14" s="1">
        <v>0.121559487428097</v>
      </c>
      <c r="D14" s="1">
        <v>0.13235977051268899</v>
      </c>
      <c r="E14" s="1">
        <v>0.186934587655148</v>
      </c>
      <c r="F14" s="2">
        <v>0.179273836527851</v>
      </c>
      <c r="G14" s="2">
        <v>0.156294753341433</v>
      </c>
      <c r="H14" s="2">
        <v>0.15881373917512201</v>
      </c>
      <c r="I14" s="2">
        <v>0.172937656595468</v>
      </c>
      <c r="J14" s="1">
        <v>0.17545085970587701</v>
      </c>
      <c r="K14" s="1">
        <v>0.169053100924619</v>
      </c>
      <c r="L14" s="1">
        <v>0.142388463818727</v>
      </c>
      <c r="M14" s="1">
        <v>0.15106157497293701</v>
      </c>
      <c r="N14" s="1">
        <f t="shared" si="0"/>
        <v>0.15616199163757025</v>
      </c>
    </row>
    <row r="15" spans="1:14" ht="18.75" x14ac:dyDescent="0.3">
      <c r="A15" s="1">
        <v>2014</v>
      </c>
      <c r="B15" s="1">
        <v>0.129158385012765</v>
      </c>
      <c r="C15" s="1">
        <v>0.120763236049439</v>
      </c>
      <c r="D15" s="1">
        <v>0.13765200151864099</v>
      </c>
      <c r="E15" s="1">
        <v>0.18769608968226401</v>
      </c>
      <c r="F15" s="2">
        <v>0.18088905904507399</v>
      </c>
      <c r="G15" s="2">
        <v>0.15459397334386599</v>
      </c>
      <c r="H15" s="2">
        <v>0.15707209505577099</v>
      </c>
      <c r="I15" s="2">
        <v>0.173189317437973</v>
      </c>
      <c r="J15" s="2">
        <v>0.176717001447705</v>
      </c>
      <c r="K15" s="1">
        <v>0.16589074690288499</v>
      </c>
      <c r="L15" s="1">
        <v>0.13481950476583199</v>
      </c>
      <c r="M15" s="1">
        <v>0.152128675425796</v>
      </c>
      <c r="N15" s="1">
        <f t="shared" si="0"/>
        <v>0.15588084047400091</v>
      </c>
    </row>
    <row r="16" spans="1:14" ht="18.75" x14ac:dyDescent="0.3">
      <c r="A16" s="1">
        <v>2015</v>
      </c>
      <c r="B16" s="1">
        <v>0.12755278314954099</v>
      </c>
      <c r="C16" s="1">
        <v>0.12045439001487999</v>
      </c>
      <c r="D16" s="1">
        <v>0.13731572938730899</v>
      </c>
      <c r="E16" s="1">
        <v>0.18958778361329001</v>
      </c>
      <c r="F16" s="2">
        <v>0.17914393721008701</v>
      </c>
      <c r="G16" s="2">
        <v>0.15610017858949399</v>
      </c>
      <c r="H16" s="2">
        <v>0.15615818844152099</v>
      </c>
      <c r="I16" s="2">
        <v>0.172273275212737</v>
      </c>
      <c r="J16" s="2">
        <v>0.175292952040599</v>
      </c>
      <c r="K16" s="1">
        <v>0.17073740418634401</v>
      </c>
      <c r="L16" s="1">
        <v>0.13429064891765299</v>
      </c>
      <c r="M16" s="1">
        <v>0.15049911581498901</v>
      </c>
      <c r="N16" s="1">
        <f t="shared" si="0"/>
        <v>0.15578386554820367</v>
      </c>
    </row>
    <row r="17" spans="1:14" ht="18.75" x14ac:dyDescent="0.3">
      <c r="A17" s="1">
        <v>2016</v>
      </c>
      <c r="B17" s="1">
        <v>0.12877559085930099</v>
      </c>
      <c r="C17" s="1">
        <v>0.116046060790869</v>
      </c>
      <c r="D17" s="1">
        <v>0.134914272006115</v>
      </c>
      <c r="E17" s="1">
        <v>0.17961985440638301</v>
      </c>
      <c r="F17" s="2">
        <v>0.17776705602692</v>
      </c>
      <c r="G17" s="2">
        <v>0.15431788392217199</v>
      </c>
      <c r="H17" s="2">
        <v>0.15845032033704301</v>
      </c>
      <c r="I17" s="2">
        <v>0.174849047424778</v>
      </c>
      <c r="J17" s="1">
        <v>0.17635661391084301</v>
      </c>
      <c r="K17" s="1">
        <v>0.162122580760614</v>
      </c>
      <c r="L17" s="1">
        <v>0.14720727843260101</v>
      </c>
      <c r="M17" s="1">
        <v>0.14935674509022401</v>
      </c>
      <c r="N17" s="1">
        <f t="shared" si="0"/>
        <v>0.15498194199732193</v>
      </c>
    </row>
    <row r="18" spans="1:14" ht="18.75" x14ac:dyDescent="0.3">
      <c r="A18" s="1">
        <v>2017</v>
      </c>
      <c r="B18" s="1">
        <v>0.12655507372948999</v>
      </c>
      <c r="C18" s="1">
        <v>0.11723438714887301</v>
      </c>
      <c r="D18" s="1">
        <v>0.13528571283395899</v>
      </c>
      <c r="E18" s="1">
        <v>0.18392977027420199</v>
      </c>
      <c r="F18" s="2">
        <v>0.17966846930095001</v>
      </c>
      <c r="G18" s="2">
        <v>0.15517483053087999</v>
      </c>
      <c r="H18" s="2">
        <v>0.15539627215048499</v>
      </c>
      <c r="I18" s="2">
        <v>0.17169407675916601</v>
      </c>
      <c r="J18" s="1">
        <v>0.17405169411958399</v>
      </c>
      <c r="K18" s="1">
        <v>0.17035730003553901</v>
      </c>
      <c r="L18" s="1">
        <v>0.136281532981055</v>
      </c>
      <c r="M18" s="1">
        <v>0.15377615026538699</v>
      </c>
      <c r="N18" s="1">
        <f t="shared" si="0"/>
        <v>0.15495043917746415</v>
      </c>
    </row>
    <row r="19" spans="1:14" ht="18.75" x14ac:dyDescent="0.3">
      <c r="A19" s="1">
        <v>2018</v>
      </c>
      <c r="B19" s="1">
        <v>0.12799289672852401</v>
      </c>
      <c r="C19" s="1">
        <v>0.12005794877322</v>
      </c>
      <c r="D19" s="1">
        <v>0.13141247652847199</v>
      </c>
      <c r="E19" s="1">
        <v>0.183916333244211</v>
      </c>
      <c r="F19" s="2">
        <v>0.17903287515866201</v>
      </c>
      <c r="G19" s="2">
        <v>0.154020358342077</v>
      </c>
      <c r="H19" s="2">
        <v>0.155828900914107</v>
      </c>
      <c r="I19" s="2">
        <v>0.17185470620756599</v>
      </c>
      <c r="J19" s="1">
        <v>0.17636681536784099</v>
      </c>
      <c r="K19" s="1">
        <v>0.17401516228266301</v>
      </c>
      <c r="L19" s="1">
        <v>0.134554079824832</v>
      </c>
      <c r="M19" s="1">
        <v>0.15247490441004299</v>
      </c>
      <c r="N19" s="1">
        <f t="shared" si="0"/>
        <v>0.15512728814851814</v>
      </c>
    </row>
    <row r="20" spans="1:14" ht="18.75" x14ac:dyDescent="0.3">
      <c r="A20" s="1">
        <v>2019</v>
      </c>
      <c r="B20" s="1">
        <v>0.12627960801853499</v>
      </c>
      <c r="C20" s="1">
        <v>0.117365792980084</v>
      </c>
      <c r="D20" s="1">
        <v>0.13981714963025099</v>
      </c>
      <c r="E20" s="1">
        <v>0.18556018687387599</v>
      </c>
      <c r="F20" s="2">
        <v>0.180800950296198</v>
      </c>
      <c r="G20" s="2">
        <v>0.15609986900960099</v>
      </c>
      <c r="H20" s="2">
        <v>0.156696436426118</v>
      </c>
      <c r="I20" s="2">
        <v>0.17102444828035801</v>
      </c>
      <c r="J20" s="2">
        <v>0.17585184804666301</v>
      </c>
      <c r="K20" s="1">
        <v>0.17077409642747901</v>
      </c>
      <c r="L20" s="1">
        <v>0.134385684768836</v>
      </c>
      <c r="M20" s="1">
        <v>0.15116511836066299</v>
      </c>
      <c r="N20" s="1">
        <f t="shared" si="0"/>
        <v>0.15548509909322186</v>
      </c>
    </row>
    <row r="21" spans="1:14" ht="18.75" x14ac:dyDescent="0.3">
      <c r="A21" s="1">
        <v>2020</v>
      </c>
      <c r="B21" s="1">
        <v>0.12561301514377199</v>
      </c>
      <c r="C21" s="1">
        <v>0.11555395660395899</v>
      </c>
      <c r="D21" s="1">
        <v>0.13151301842135299</v>
      </c>
      <c r="E21" s="2">
        <v>0.183942735455845</v>
      </c>
      <c r="F21" s="2">
        <v>0.175924206064521</v>
      </c>
      <c r="G21" s="2">
        <v>0.152006559284315</v>
      </c>
      <c r="H21" s="2">
        <v>0.15496830928639499</v>
      </c>
      <c r="I21" s="2">
        <v>0.16905002414874301</v>
      </c>
      <c r="J21" s="2">
        <v>0.17489016102990501</v>
      </c>
      <c r="K21" s="1">
        <v>0.17265753736054301</v>
      </c>
      <c r="L21" s="1">
        <v>0.155767979222347</v>
      </c>
      <c r="M21" s="1">
        <v>0.15404155023992899</v>
      </c>
      <c r="N21" s="1">
        <f t="shared" si="0"/>
        <v>0.1554940876884689</v>
      </c>
    </row>
    <row r="22" spans="1:14" ht="18.75" x14ac:dyDescent="0.3">
      <c r="A22" s="1">
        <v>2021</v>
      </c>
      <c r="B22" s="1">
        <v>0.12930922802077799</v>
      </c>
      <c r="C22" s="1">
        <v>0.118929123812325</v>
      </c>
      <c r="D22" s="1">
        <v>0.13203046620192099</v>
      </c>
      <c r="E22" s="1">
        <v>0.19097317515558901</v>
      </c>
      <c r="F22" s="2">
        <v>0.177683066358825</v>
      </c>
      <c r="G22" s="2">
        <v>0.153623910290351</v>
      </c>
      <c r="H22" s="2">
        <v>0.15600929527886001</v>
      </c>
      <c r="I22" s="2">
        <v>0.172243127539531</v>
      </c>
      <c r="J22" s="2">
        <v>0.17346756145519501</v>
      </c>
      <c r="K22" s="1">
        <v>0.169019165472241</v>
      </c>
      <c r="L22" s="1">
        <v>0.13857931998880399</v>
      </c>
      <c r="M22" s="1">
        <v>0.151782562215585</v>
      </c>
      <c r="N22" s="1">
        <f t="shared" si="0"/>
        <v>0.15530416681583378</v>
      </c>
    </row>
    <row r="23" spans="1:14" ht="18.75" x14ac:dyDescent="0.3">
      <c r="A23" s="1">
        <v>2022</v>
      </c>
      <c r="B23" s="1">
        <v>0.12756529937093</v>
      </c>
      <c r="C23" s="1">
        <v>0.118776078730635</v>
      </c>
      <c r="D23" s="1">
        <v>0.13090748218182399</v>
      </c>
      <c r="E23" s="1">
        <v>0.18382338150806701</v>
      </c>
      <c r="F23" s="2">
        <v>0.17960662670379099</v>
      </c>
      <c r="G23" s="2">
        <v>0.154667069995331</v>
      </c>
      <c r="H23" s="2">
        <v>0.15758672245267399</v>
      </c>
      <c r="I23" s="2">
        <v>0.17437870232795399</v>
      </c>
      <c r="J23" s="2">
        <v>0.174386202548414</v>
      </c>
      <c r="K23" s="1">
        <v>0.171873386770662</v>
      </c>
      <c r="L23" s="1">
        <v>0.134320177740236</v>
      </c>
      <c r="M23" s="1">
        <v>0.15193182905636801</v>
      </c>
      <c r="N23" s="1">
        <f t="shared" si="0"/>
        <v>0.15498524661557384</v>
      </c>
    </row>
    <row r="24" spans="1:14" ht="18.75" x14ac:dyDescent="0.3">
      <c r="A24" s="1">
        <v>2023</v>
      </c>
      <c r="B24" s="1">
        <v>0.129741384418397</v>
      </c>
      <c r="C24" s="1">
        <v>0.117727378469307</v>
      </c>
      <c r="D24" s="1">
        <v>0.13372513983030901</v>
      </c>
      <c r="E24" s="2">
        <v>0.18212764168440901</v>
      </c>
      <c r="F24" s="2">
        <v>0.1832497061982</v>
      </c>
      <c r="G24" s="2">
        <v>0.15699003270610201</v>
      </c>
      <c r="H24" s="2">
        <v>0.15774904854562399</v>
      </c>
      <c r="I24" s="2">
        <v>0.17231199263202601</v>
      </c>
      <c r="J24" s="2">
        <v>0.179069459725128</v>
      </c>
      <c r="K24" s="1">
        <v>0.17655476752115801</v>
      </c>
      <c r="L24" s="1">
        <v>0.14050801088831999</v>
      </c>
      <c r="M24" s="1">
        <v>0.15073594289866801</v>
      </c>
      <c r="N24" s="1">
        <f t="shared" si="0"/>
        <v>0.15670754212647067</v>
      </c>
    </row>
    <row r="25" spans="1:14" ht="18.75" x14ac:dyDescent="0.3">
      <c r="A25" s="1">
        <v>2024</v>
      </c>
      <c r="B25" s="1">
        <v>0.12668307303652801</v>
      </c>
      <c r="C25" s="1">
        <v>0.114571399192757</v>
      </c>
      <c r="D25" s="1">
        <v>0.12786526035173401</v>
      </c>
      <c r="E25" s="2">
        <v>0.17603790586860599</v>
      </c>
      <c r="F25" s="2">
        <v>0.173465899918163</v>
      </c>
      <c r="G25" s="2">
        <v>0.15419659256333401</v>
      </c>
      <c r="H25" s="2">
        <v>0.15475976004161901</v>
      </c>
      <c r="I25" s="2">
        <v>0.17070981642806801</v>
      </c>
      <c r="J25" s="2">
        <v>0.17361129712186801</v>
      </c>
      <c r="K25" s="1">
        <v>0.169187375004097</v>
      </c>
      <c r="L25" s="1">
        <v>0.15418986758502501</v>
      </c>
      <c r="M25" s="1">
        <v>0.15063540829413</v>
      </c>
      <c r="N25" s="1">
        <f t="shared" si="0"/>
        <v>0.1538261379504941</v>
      </c>
    </row>
    <row r="26" spans="1:14" ht="18.75" x14ac:dyDescent="0.3">
      <c r="A26" s="1" t="s">
        <v>4</v>
      </c>
      <c r="B26" s="1">
        <f>AVERAGE(B2:B25)</f>
        <v>0.12864454007535586</v>
      </c>
      <c r="C26" s="1">
        <f t="shared" ref="C26:N26" si="1">AVERAGE(C2:C25)</f>
        <v>0.11902275985821999</v>
      </c>
      <c r="D26" s="1">
        <f t="shared" si="1"/>
        <v>0.13403060363229777</v>
      </c>
      <c r="E26" s="1">
        <f t="shared" si="1"/>
        <v>0.18619519423719022</v>
      </c>
      <c r="F26" s="1">
        <f t="shared" si="1"/>
        <v>0.18041362001807681</v>
      </c>
      <c r="G26" s="1">
        <f t="shared" si="1"/>
        <v>0.15625146778966559</v>
      </c>
      <c r="H26" s="1">
        <f t="shared" si="1"/>
        <v>0.15793244766108475</v>
      </c>
      <c r="I26" s="1">
        <f t="shared" si="1"/>
        <v>0.17308401132620907</v>
      </c>
      <c r="J26" s="1">
        <f t="shared" si="1"/>
        <v>0.17678892344477867</v>
      </c>
      <c r="K26" s="1">
        <f t="shared" si="1"/>
        <v>0.17166334122431789</v>
      </c>
      <c r="L26" s="1">
        <f t="shared" si="1"/>
        <v>0.14172108004192746</v>
      </c>
      <c r="M26" s="1">
        <f t="shared" si="1"/>
        <v>0.15217312648350381</v>
      </c>
      <c r="N26" s="1">
        <f t="shared" si="1"/>
        <v>0.15649342631605231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NEP</vt:lpstr>
      <vt:lpstr>Uncertainty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棋治 韩</cp:lastModifiedBy>
  <dcterms:created xsi:type="dcterms:W3CDTF">2015-06-05T18:19:34Z</dcterms:created>
  <dcterms:modified xsi:type="dcterms:W3CDTF">2025-11-16T08:21:58Z</dcterms:modified>
</cp:coreProperties>
</file>